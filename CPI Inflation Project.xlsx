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l\Downloads\"/>
    </mc:Choice>
  </mc:AlternateContent>
  <xr:revisionPtr revIDLastSave="0" documentId="13_ncr:1_{D8F84012-417A-432E-9D7A-4B0E26B29E95}" xr6:coauthVersionLast="47" xr6:coauthVersionMax="47" xr10:uidLastSave="{00000000-0000-0000-0000-000000000000}"/>
  <bookViews>
    <workbookView xWindow="-96" yWindow="-96" windowWidth="23232" windowHeight="12432" firstSheet="3" activeTab="9" xr2:uid="{00000000-000D-0000-FFFF-FFFF00000000}"/>
  </bookViews>
  <sheets>
    <sheet name="Main data" sheetId="1" r:id="rId1"/>
    <sheet name="Raw Data" sheetId="7" r:id="rId2"/>
    <sheet name="PT_Import_Val_2021-22" sheetId="13" r:id="rId3"/>
    <sheet name="PT_Import_Val_2022-23" sheetId="14" r:id="rId4"/>
    <sheet name="Q1" sheetId="2" r:id="rId5"/>
    <sheet name="Q2" sheetId="3" r:id="rId6"/>
    <sheet name="Q3 " sheetId="10" r:id="rId7"/>
    <sheet name="COVID 19 -Q4" sheetId="18" r:id="rId8"/>
    <sheet name="COVID Analysis Q4" sheetId="19" r:id="rId9"/>
    <sheet name="Q5" sheetId="6" r:id="rId10"/>
    <sheet name="Corelation" sheetId="15" r:id="rId11"/>
  </sheets>
  <definedNames>
    <definedName name="_xlnm._FilterDatabase" localSheetId="10" hidden="1">Corelation!$A$1:$AE$1</definedName>
    <definedName name="_xlnm._FilterDatabase" localSheetId="7" hidden="1">'COVID 19 -Q4'!$A$1:$L$193</definedName>
    <definedName name="_xlnm._FilterDatabase" localSheetId="0" hidden="1">'Main data'!$A$1:$AD$373</definedName>
    <definedName name="_xlnm._FilterDatabase" localSheetId="6" hidden="1">'Q3 '!$A$1:$AA$1</definedName>
    <definedName name="_xlnm._FilterDatabase" localSheetId="1" hidden="1">'Raw Data'!$A$1:$AE$1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FCE2AD5D-F65C-4FA6-A056-5C36A1767C68}">
      <x15:dataModel>
        <x15:modelTables>
          <x15:modelTable id="PT_Import_Val_2021-22_799b7b6b-21a9-4807-888e-2ad73d959ae4" name="PT_Import_Val_2021-22" connection="Query - PT_Import_Val_2021-22"/>
          <x15:modelTable id="PT_Import_Val_2022-23_4fa284de-9ff2-46a7-ad9e-6d02e1b719b4" name="PT_Import_Val_2022-23" connection="Query - PT_Import_Val_2022-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8" i="18" l="1"/>
  <c r="N177" i="18"/>
  <c r="N176" i="18"/>
  <c r="N175" i="18"/>
  <c r="N174" i="18"/>
  <c r="N173" i="18"/>
  <c r="N172" i="18"/>
  <c r="N171" i="18"/>
  <c r="N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20" i="18"/>
  <c r="N119" i="18"/>
  <c r="N118" i="18"/>
  <c r="N117" i="18"/>
  <c r="N116" i="18"/>
  <c r="N115" i="18"/>
  <c r="N114" i="18"/>
  <c r="N113" i="18"/>
  <c r="N112" i="18"/>
  <c r="N111" i="18"/>
  <c r="N110" i="18"/>
  <c r="N109" i="18"/>
  <c r="N108" i="18"/>
  <c r="N107" i="18"/>
  <c r="N106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N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2" i="18"/>
  <c r="E2" i="18" l="1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" i="7"/>
  <c r="AB38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M21" i="10" l="1"/>
  <c r="C24" i="6"/>
  <c r="C25" i="6"/>
  <c r="C26" i="6"/>
  <c r="C27" i="6"/>
  <c r="C28" i="6"/>
  <c r="C29" i="6"/>
  <c r="C30" i="6"/>
  <c r="C31" i="6"/>
  <c r="C32" i="6"/>
  <c r="C33" i="6"/>
  <c r="C34" i="6"/>
  <c r="C7" i="6"/>
  <c r="C8" i="6"/>
  <c r="C9" i="6"/>
  <c r="C10" i="6"/>
  <c r="C11" i="6"/>
  <c r="C12" i="6"/>
  <c r="C13" i="6"/>
  <c r="C14" i="6"/>
  <c r="C15" i="6"/>
  <c r="C16" i="6"/>
  <c r="C17" i="6"/>
  <c r="K17" i="10"/>
  <c r="AA37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" i="10"/>
  <c r="G4" i="10"/>
  <c r="G5" i="10"/>
  <c r="G6" i="10"/>
  <c r="G7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2" i="10"/>
  <c r="C23" i="6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E26" i="15"/>
  <c r="E38" i="10" l="1" a="1"/>
  <c r="E38" i="10" s="1"/>
  <c r="D26" i="15"/>
  <c r="B35" i="6"/>
  <c r="C6" i="6" l="1"/>
  <c r="M39" i="14" l="1"/>
  <c r="L39" i="14"/>
  <c r="K39" i="14"/>
  <c r="J39" i="14"/>
  <c r="I39" i="14"/>
  <c r="H39" i="14"/>
  <c r="G39" i="14"/>
  <c r="F39" i="14"/>
  <c r="E39" i="14"/>
  <c r="D39" i="14"/>
  <c r="C39" i="14"/>
  <c r="B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M24" i="14"/>
  <c r="M25" i="14" s="1"/>
  <c r="M40" i="14" s="1"/>
  <c r="L24" i="14"/>
  <c r="L25" i="14" s="1"/>
  <c r="L40" i="14" s="1"/>
  <c r="K24" i="14"/>
  <c r="K25" i="14" s="1"/>
  <c r="K40" i="14" s="1"/>
  <c r="J24" i="14"/>
  <c r="J25" i="14" s="1"/>
  <c r="J40" i="14" s="1"/>
  <c r="I24" i="14"/>
  <c r="I25" i="14" s="1"/>
  <c r="I40" i="14" s="1"/>
  <c r="H24" i="14"/>
  <c r="H25" i="14" s="1"/>
  <c r="H40" i="14" s="1"/>
  <c r="G24" i="14"/>
  <c r="G25" i="14" s="1"/>
  <c r="G40" i="14" s="1"/>
  <c r="F24" i="14"/>
  <c r="F25" i="14" s="1"/>
  <c r="F40" i="14" s="1"/>
  <c r="E24" i="14"/>
  <c r="E25" i="14" s="1"/>
  <c r="E40" i="14" s="1"/>
  <c r="D24" i="14"/>
  <c r="D25" i="14" s="1"/>
  <c r="D40" i="14" s="1"/>
  <c r="C24" i="14"/>
  <c r="C25" i="14" s="1"/>
  <c r="C40" i="14" s="1"/>
  <c r="B24" i="14"/>
  <c r="B25" i="14" s="1"/>
  <c r="B40" i="14" s="1"/>
  <c r="N23" i="14"/>
  <c r="N22" i="14"/>
  <c r="N21" i="14"/>
  <c r="N20" i="14"/>
  <c r="N19" i="14"/>
  <c r="N18" i="14"/>
  <c r="N17" i="14"/>
  <c r="N16" i="14"/>
  <c r="N24" i="14" s="1"/>
  <c r="N15" i="14"/>
  <c r="N14" i="14"/>
  <c r="N13" i="14"/>
  <c r="N11" i="14"/>
  <c r="M39" i="13"/>
  <c r="L39" i="13"/>
  <c r="K39" i="13"/>
  <c r="J39" i="13"/>
  <c r="I39" i="13"/>
  <c r="H39" i="13"/>
  <c r="G39" i="13"/>
  <c r="F39" i="13"/>
  <c r="E39" i="13"/>
  <c r="D39" i="13"/>
  <c r="C39" i="13"/>
  <c r="B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D25" i="13"/>
  <c r="D40" i="13" s="1"/>
  <c r="M24" i="13"/>
  <c r="M25" i="13" s="1"/>
  <c r="M40" i="13" s="1"/>
  <c r="L24" i="13"/>
  <c r="L25" i="13" s="1"/>
  <c r="L40" i="13" s="1"/>
  <c r="K24" i="13"/>
  <c r="K25" i="13" s="1"/>
  <c r="K40" i="13" s="1"/>
  <c r="J24" i="13"/>
  <c r="J25" i="13" s="1"/>
  <c r="J40" i="13" s="1"/>
  <c r="I24" i="13"/>
  <c r="I25" i="13" s="1"/>
  <c r="I40" i="13" s="1"/>
  <c r="H24" i="13"/>
  <c r="H25" i="13" s="1"/>
  <c r="G24" i="13"/>
  <c r="G25" i="13" s="1"/>
  <c r="F24" i="13"/>
  <c r="F25" i="13" s="1"/>
  <c r="E24" i="13"/>
  <c r="E25" i="13" s="1"/>
  <c r="E40" i="13" s="1"/>
  <c r="D24" i="13"/>
  <c r="C24" i="13"/>
  <c r="C25" i="13" s="1"/>
  <c r="C40" i="13" s="1"/>
  <c r="B24" i="13"/>
  <c r="B25" i="13" s="1"/>
  <c r="B40" i="13" s="1"/>
  <c r="N23" i="13"/>
  <c r="N22" i="13"/>
  <c r="N21" i="13"/>
  <c r="N20" i="13"/>
  <c r="N19" i="13"/>
  <c r="N18" i="13"/>
  <c r="N17" i="13"/>
  <c r="N16" i="13"/>
  <c r="N15" i="13"/>
  <c r="N14" i="13"/>
  <c r="N13" i="13"/>
  <c r="N11" i="13"/>
  <c r="N25" i="14" l="1"/>
  <c r="H40" i="13"/>
  <c r="N39" i="14"/>
  <c r="N24" i="13"/>
  <c r="N39" i="13"/>
  <c r="F40" i="13"/>
  <c r="G40" i="13"/>
  <c r="N25" i="13"/>
  <c r="N40" i="13" l="1"/>
  <c r="N40" i="14"/>
  <c r="G2" i="10"/>
  <c r="I2" i="10"/>
  <c r="I38" i="10" s="1" a="1"/>
  <c r="I38" i="10" s="1"/>
  <c r="K2" i="10"/>
  <c r="K38" i="10" s="1" a="1"/>
  <c r="K38" i="10" s="1"/>
  <c r="M2" i="10"/>
  <c r="M38" i="10" s="1" a="1"/>
  <c r="M38" i="10" s="1"/>
  <c r="O2" i="10"/>
  <c r="O38" i="10" s="1" a="1"/>
  <c r="O38" i="10" s="1"/>
  <c r="Q2" i="10"/>
  <c r="Q38" i="10" s="1" a="1"/>
  <c r="Q38" i="10" s="1"/>
  <c r="S2" i="10"/>
  <c r="S38" i="10" s="1" a="1"/>
  <c r="S38" i="10" s="1"/>
  <c r="U2" i="10"/>
  <c r="U38" i="10" s="1" a="1"/>
  <c r="U38" i="10" s="1"/>
  <c r="W2" i="10"/>
  <c r="W38" i="10" s="1" a="1"/>
  <c r="W38" i="10" s="1"/>
  <c r="Y2" i="10"/>
  <c r="Y38" i="10" s="1" a="1"/>
  <c r="Y38" i="10" s="1"/>
  <c r="AA2" i="10"/>
  <c r="AA38" i="10" s="1" a="1"/>
  <c r="AA38" i="10" s="1"/>
  <c r="G38" i="10" l="1" a="1"/>
  <c r="G38" i="10" s="1"/>
  <c r="AB2" i="10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D18" i="3" l="1"/>
  <c r="D19" i="3"/>
  <c r="D20" i="3"/>
  <c r="D21" i="3"/>
  <c r="D22" i="3"/>
  <c r="D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E6F364-6E91-4229-8E31-6B3D3A6286DE}" keepAlive="1" name="Query - All_India_Index_Upto_April23 (1)" description="Connection to the 'All_India_Index_Upto_April23 (1)' query in the workbook." type="5" refreshedVersion="6" background="1">
    <dbPr connection="Provider=Microsoft.Mashup.OleDb.1;Data Source=$Workbook$;Location=All_India_Index_Upto_April23 (1);Extended Properties=&quot;&quot;" command="SELECT * FROM [All_India_Index_Upto_April23 (1)]"/>
  </connection>
  <connection id="2" xr16:uid="{023B194C-5790-49AA-9B2C-64898EC35971}" name="Query - PT_Import_Val_2021-22" description="Connection to the 'PT_Import_Val_2021-22' query in the workbook." type="100" refreshedVersion="6" minRefreshableVersion="5">
    <extLst>
      <ext xmlns:x15="http://schemas.microsoft.com/office/spreadsheetml/2010/11/main" uri="{DE250136-89BD-433C-8126-D09CA5730AF9}">
        <x15:connection id="83831b20-41da-46fb-b5b8-e11db16ed49e"/>
      </ext>
    </extLst>
  </connection>
  <connection id="3" xr16:uid="{CBB75649-A3B8-45BC-9DAB-69EE93A6443F}" name="Query - PT_Import_Val_2022-23" description="Connection to the 'PT_Import_Val_2022-23' query in the workbook." type="100" refreshedVersion="6" minRefreshableVersion="5">
    <extLst>
      <ext xmlns:x15="http://schemas.microsoft.com/office/spreadsheetml/2010/11/main" uri="{DE250136-89BD-433C-8126-D09CA5730AF9}">
        <x15:connection id="05944526-5d2b-48b6-94aa-d1f181933c01"/>
      </ext>
    </extLst>
  </connection>
  <connection id="4" xr16:uid="{E8FC3D99-874E-4823-BD62-02E3C12C93A1}" keepAlive="1" name="Query - PT_Import_Val_2022-23 (2)" description="Connection to the 'PT_Import_Val_2022-23 (2)' query in the workbook." type="5" refreshedVersion="6" background="1" saveData="1">
    <dbPr connection="Provider=Microsoft.Mashup.OleDb.1;Data Source=$Workbook$;Location=PT_Import_Val_2022-23 (2);Extended Properties=&quot;&quot;" command="SELECT * FROM [PT_Import_Val_2022-23 (2)]"/>
  </connection>
  <connection id="5" xr16:uid="{990EE924-20CA-4570-AE5C-2EAC4F2C43B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<sst xmlns="http://schemas.openxmlformats.org/spreadsheetml/2006/main" count="2957" uniqueCount="170">
  <si>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</si>
  <si>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</si>
  <si>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</si>
  <si>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</si>
  <si>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</si>
  <si>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</si>
  <si>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</si>
  <si>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</si>
  <si>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</si>
  <si>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</si>
  <si>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</si>
  <si>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</si>
  <si>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</si>
  <si>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</si>
  <si>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</si>
  <si>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</si>
  <si>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</si>
  <si>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</si>
  <si>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</si>
  <si>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</si>
  <si>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</si>
  <si>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</si>
  <si>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</si>
  <si>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</si>
  <si>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</si>
  <si>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</si>
  <si>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</si>
  <si>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</si>
  <si>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</si>
  <si>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</si>
  <si>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</si>
  <si>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</si>
  <si>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</si>
  <si>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</si>
  <si>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</si>
  <si>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</si>
  <si>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</si>
  <si>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</si>
  <si>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</si>
  <si>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</si>
  <si>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</si>
  <si>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</si>
  <si>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</si>
  <si>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</si>
  <si>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</si>
  <si>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</si>
  <si>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</si>
  <si>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</si>
  <si>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</si>
  <si>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Category</t>
  </si>
  <si>
    <t xml:space="preserve">Food </t>
  </si>
  <si>
    <t>Addiction</t>
  </si>
  <si>
    <t>Energy</t>
  </si>
  <si>
    <t>Transportation</t>
  </si>
  <si>
    <t>Row Labels</t>
  </si>
  <si>
    <t>Grand Total</t>
  </si>
  <si>
    <t>% of Rural+Urban</t>
  </si>
  <si>
    <t>% of Urban</t>
  </si>
  <si>
    <t>% of Rural</t>
  </si>
  <si>
    <t>Border Bucket</t>
  </si>
  <si>
    <t>Cereals and products,Meat and fish,Egg,Milk and products
Oils and fats,Fruits,Vegetable,Pulse and Product
Sugar and Confectionery,Spoces,Non alcoholic beverages,Prepared meals,snacks,sweets</t>
  </si>
  <si>
    <t>Food and beverages,Pan, tobacco and intoxicants</t>
  </si>
  <si>
    <t>Clothing,Footwear,Clothing and footwear</t>
  </si>
  <si>
    <t>Fuel and Light</t>
  </si>
  <si>
    <t>Transportation and communication</t>
  </si>
  <si>
    <t>Recreation and amusement,Household goods and services
Personal care and effect,Miscellaneous</t>
  </si>
  <si>
    <t>Years</t>
  </si>
  <si>
    <t>Year-over-Year(Y-O-Y) Inflation growth Rate</t>
  </si>
  <si>
    <t>M-O-M Cereals and products</t>
  </si>
  <si>
    <t>M-O-M Meat and fish</t>
  </si>
  <si>
    <t>M-O-M Eggs</t>
  </si>
  <si>
    <t>M-O-M Milk and products</t>
  </si>
  <si>
    <t>M-O-M Oils and fats</t>
  </si>
  <si>
    <t>M-O-M Fruits</t>
  </si>
  <si>
    <t>M-O-M Vegetables</t>
  </si>
  <si>
    <t>M-O-M Pulses and products</t>
  </si>
  <si>
    <t>M-O-M Sugar and Confectionery</t>
  </si>
  <si>
    <t xml:space="preserve">M-O-M Spices </t>
  </si>
  <si>
    <t>M-O-M Prepared meals, snacks, sweets etc.</t>
  </si>
  <si>
    <t>M-O-M Non-alcoholic beverages</t>
  </si>
  <si>
    <t xml:space="preserve"> </t>
  </si>
  <si>
    <t>Petroleum Planning &amp; Analysis Cell</t>
  </si>
  <si>
    <t>2022-23</t>
  </si>
  <si>
    <t>(` Crore)</t>
  </si>
  <si>
    <t>Import/Export of Crude oil and Petroleum Products</t>
  </si>
  <si>
    <t>IMPORT/EXPORT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</si>
  <si>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</si>
  <si>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</si>
  <si>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</si>
  <si>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</si>
  <si>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</si>
  <si>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</si>
  <si>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</si>
  <si>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</si>
  <si>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</si>
  <si>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</si>
  <si>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</si>
  <si>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</si>
  <si>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</si>
  <si>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IMPORT^</t>
  </si>
  <si>
    <t xml:space="preserve"> CRUDE OIL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</si>
  <si>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</si>
  <si>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</si>
  <si>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</si>
  <si>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</si>
  <si>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</si>
  <si>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</si>
  <si>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</si>
  <si>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</si>
  <si>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</si>
  <si>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</si>
  <si>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</si>
  <si>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</si>
  <si>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PRODUCT IMPORT*</t>
  </si>
  <si>
    <t>TOTAL IMPORT</t>
  </si>
  <si>
    <t xml:space="preserve"> PRODUCT EXPORT @</t>
  </si>
  <si>
    <t>MS!</t>
  </si>
  <si>
    <t>Naphtha$</t>
  </si>
  <si>
    <t>ATF#</t>
  </si>
  <si>
    <t>LDO</t>
  </si>
  <si>
    <t>LOBS/ Lube Oil</t>
  </si>
  <si>
    <t>Petcoke / CBFS</t>
  </si>
  <si>
    <t>Others%</t>
  </si>
  <si>
    <t>TOTAL  PRODUCT EXPORT</t>
  </si>
  <si>
    <t>NET IMPORT</t>
  </si>
  <si>
    <t>Source: Oil Companies &amp; DGCIS</t>
  </si>
  <si>
    <t>Notes:</t>
  </si>
  <si>
    <t>RIL SEZ imports/exports included in country's import/export data</t>
  </si>
  <si>
    <t xml:space="preserve">^LNG import not included </t>
  </si>
  <si>
    <t>&amp; Others in import include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</si>
  <si>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</si>
  <si>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</si>
  <si>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</si>
  <si>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Benzene, Hexane, MTO, Sulphur etc.</t>
  </si>
  <si>
    <t>2021-22</t>
  </si>
  <si>
    <t>2021-2022</t>
  </si>
  <si>
    <t>Cruid oil Import</t>
  </si>
  <si>
    <t>M-O-M Inflation</t>
  </si>
  <si>
    <t>Total</t>
  </si>
  <si>
    <t>2022-2023</t>
  </si>
  <si>
    <t>Corelation B/W Crude oil and Other Categories</t>
  </si>
  <si>
    <t>Crude Oil Import</t>
  </si>
  <si>
    <t>Corelation b/w Crude Oil and Other Category</t>
  </si>
  <si>
    <t>Total Absolute Change</t>
  </si>
  <si>
    <t>Total Food Inflation(To calculate month with highest and lowest Food inflation)</t>
  </si>
  <si>
    <t>(blank)</t>
  </si>
  <si>
    <t>Average of Total Food Inflation(To calculate month with highest and lowest Food inflation)</t>
  </si>
  <si>
    <r>
      <t xml:space="preserve">From the pivot table, we may say that the months with </t>
    </r>
    <r>
      <rPr>
        <b/>
        <sz val="18"/>
        <color theme="1"/>
        <rFont val="Calibri"/>
        <family val="2"/>
        <scheme val="minor"/>
      </rPr>
      <t>HIGHEST AND LOWEST</t>
    </r>
    <r>
      <rPr>
        <sz val="18"/>
        <color theme="1"/>
        <rFont val="Calibri"/>
        <family val="2"/>
        <scheme val="minor"/>
      </rPr>
      <t xml:space="preserve"> inflation rate are </t>
    </r>
    <r>
      <rPr>
        <b/>
        <sz val="18"/>
        <color theme="1"/>
        <rFont val="Calibri"/>
        <family val="2"/>
        <scheme val="minor"/>
      </rPr>
      <t>APRIL</t>
    </r>
    <r>
      <rPr>
        <sz val="18"/>
        <color theme="1"/>
        <rFont val="Calibri"/>
        <family val="2"/>
        <scheme val="minor"/>
      </rPr>
      <t xml:space="preserve"> 
and </t>
    </r>
    <r>
      <rPr>
        <b/>
        <sz val="18"/>
        <color theme="1"/>
        <rFont val="Calibri"/>
        <family val="2"/>
        <scheme val="minor"/>
      </rPr>
      <t>MAY</t>
    </r>
    <r>
      <rPr>
        <sz val="18"/>
        <color theme="1"/>
        <rFont val="Calibri"/>
        <family val="2"/>
        <scheme val="minor"/>
      </rPr>
      <t xml:space="preserve"> respectively. And after calculating</t>
    </r>
    <r>
      <rPr>
        <b/>
        <sz val="18"/>
        <color theme="1"/>
        <rFont val="Calibri"/>
        <family val="2"/>
        <scheme val="minor"/>
      </rPr>
      <t xml:space="preserve"> TOTAL ABSOLUTE CHANGES</t>
    </r>
    <r>
      <rPr>
        <sz val="18"/>
        <color theme="1"/>
        <rFont val="Calibri"/>
        <family val="2"/>
        <scheme val="minor"/>
      </rPr>
      <t xml:space="preserve">, biggest individual 
category contributor is </t>
    </r>
    <r>
      <rPr>
        <b/>
        <sz val="18"/>
        <color theme="1"/>
        <rFont val="Calibri"/>
        <family val="2"/>
        <scheme val="minor"/>
      </rPr>
      <t>VEGETABLES</t>
    </r>
    <r>
      <rPr>
        <sz val="18"/>
        <color theme="1"/>
        <rFont val="Calibri"/>
        <family val="2"/>
        <scheme val="minor"/>
      </rPr>
      <t>.</t>
    </r>
  </si>
  <si>
    <t>Food category Total</t>
  </si>
  <si>
    <t>M-O-M Food category</t>
  </si>
  <si>
    <t>M-O-M Health</t>
  </si>
  <si>
    <t>M-O-M Housing goods and services</t>
  </si>
  <si>
    <t>M-O-M Transport and Communication</t>
  </si>
  <si>
    <t>M-O-M Housing</t>
  </si>
  <si>
    <t>(All)</t>
  </si>
  <si>
    <t>Average of M-O-M Food category</t>
  </si>
  <si>
    <t>Pre Post COVID</t>
  </si>
  <si>
    <t>Column Labels</t>
  </si>
  <si>
    <t>After</t>
  </si>
  <si>
    <t>Before</t>
  </si>
  <si>
    <t>COVID</t>
  </si>
  <si>
    <t>Total Average of M-O-M Food category</t>
  </si>
  <si>
    <t>Total Average of M-O-M Health</t>
  </si>
  <si>
    <t>Average of M-O-M Health</t>
  </si>
  <si>
    <t>Total Average of M-O-M Housing goods and services</t>
  </si>
  <si>
    <t>Average of M-O-M Housing goods and services</t>
  </si>
  <si>
    <t>Total Average of M-O-M Transport and Communication</t>
  </si>
  <si>
    <t>Average of M-O-M Transport and Communication</t>
  </si>
  <si>
    <t>Total Average of M-O-M Housing</t>
  </si>
  <si>
    <t>Average of M-O-M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</si>
</sst>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color theme="1"/>
      <name val="Times New Roman"/>
      <family val="1"/>
    </font>
    <font>
      <sz val="12"/>
      <name val="Arial"/>
      <family val="2"/>
    </font>
    <font>
      <sz val="14"/>
      <color theme="1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8"/>
      <name val="Arial"/>
      <family val="2"/>
    </font>
    <font>
      <b/>
      <sz val="12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6"/>
      <name val="Times New Roman"/>
      <family val="1"/>
    </font>
    <font>
      <sz val="10"/>
      <name val="Times New Roman"/>
      <family val="1"/>
    </font>
    <font>
      <sz val="11"/>
      <color rgb="FF202124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  <xf numFmtId="0" fontId="24" fillId="0" borderId="0"/>
    <xf numFmtId="0" fontId="2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left"/>
    </xf>
    <xf numFmtId="0" fontId="0" fillId="39" borderId="0" xfId="0" applyFill="1" applyAlignment="1">
      <alignment horizontal="left"/>
    </xf>
    <xf numFmtId="0" fontId="0" fillId="40" borderId="0" xfId="0" applyFill="1" applyAlignment="1">
      <alignment horizontal="left"/>
    </xf>
    <xf numFmtId="0" fontId="0" fillId="41" borderId="0" xfId="0" applyFill="1" applyAlignment="1">
      <alignment horizontal="left"/>
    </xf>
    <xf numFmtId="164" fontId="0" fillId="0" borderId="0" xfId="0" applyNumberFormat="1"/>
    <xf numFmtId="0" fontId="0" fillId="42" borderId="1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0" xfId="0" pivotButton="1"/>
    <xf numFmtId="10" fontId="0" fillId="0" borderId="0" xfId="0" applyNumberForma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43" borderId="0" xfId="0" applyFill="1" applyAlignment="1">
      <alignment horizontal="left"/>
    </xf>
    <xf numFmtId="0" fontId="0" fillId="0" borderId="10" xfId="0" applyBorder="1" applyAlignment="1">
      <alignment vertical="center" wrapText="1"/>
    </xf>
    <xf numFmtId="0" fontId="0" fillId="43" borderId="0" xfId="0" applyFill="1"/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left" vertical="center"/>
    </xf>
    <xf numFmtId="2" fontId="0" fillId="0" borderId="10" xfId="0" applyNumberFormat="1" applyBorder="1" applyAlignment="1">
      <alignment horizontal="center"/>
    </xf>
    <xf numFmtId="0" fontId="0" fillId="44" borderId="0" xfId="0" applyFill="1" applyAlignment="1">
      <alignment horizontal="center"/>
    </xf>
    <xf numFmtId="0" fontId="19" fillId="0" borderId="0" xfId="42" quotePrefix="1" applyFont="1" applyAlignment="1">
      <alignment horizontal="center"/>
    </xf>
    <xf numFmtId="15" fontId="21" fillId="0" borderId="0" xfId="43" applyNumberFormat="1" applyFont="1"/>
    <xf numFmtId="0" fontId="21" fillId="0" borderId="0" xfId="43" applyFont="1"/>
    <xf numFmtId="0" fontId="23" fillId="38" borderId="10" xfId="43" applyFont="1" applyFill="1" applyBorder="1" applyAlignment="1">
      <alignment horizontal="center" vertical="center" wrapText="1"/>
    </xf>
    <xf numFmtId="0" fontId="23" fillId="38" borderId="10" xfId="43" applyFont="1" applyFill="1" applyBorder="1" applyAlignment="1">
      <alignment horizontal="center" vertical="center"/>
    </xf>
    <xf numFmtId="1" fontId="25" fillId="43" borderId="10" xfId="44" applyNumberFormat="1" applyFont="1" applyFill="1" applyBorder="1" applyAlignment="1">
      <alignment horizontal="left"/>
    </xf>
    <xf numFmtId="1" fontId="26" fillId="43" borderId="10" xfId="44" applyNumberFormat="1" applyFont="1" applyFill="1" applyBorder="1" applyAlignment="1">
      <alignment horizontal="center"/>
    </xf>
    <xf numFmtId="1" fontId="25" fillId="43" borderId="10" xfId="44" applyNumberFormat="1" applyFont="1" applyFill="1" applyBorder="1" applyAlignment="1">
      <alignment horizontal="center"/>
    </xf>
    <xf numFmtId="1" fontId="27" fillId="43" borderId="10" xfId="44" applyNumberFormat="1" applyFont="1" applyFill="1" applyBorder="1" applyAlignment="1">
      <alignment horizontal="right"/>
    </xf>
    <xf numFmtId="1" fontId="28" fillId="43" borderId="10" xfId="44" applyNumberFormat="1" applyFont="1" applyFill="1" applyBorder="1" applyAlignment="1">
      <alignment horizontal="right"/>
    </xf>
    <xf numFmtId="1" fontId="29" fillId="43" borderId="10" xfId="44" applyNumberFormat="1" applyFont="1" applyFill="1" applyBorder="1" applyAlignment="1">
      <alignment horizontal="right"/>
    </xf>
    <xf numFmtId="3" fontId="29" fillId="43" borderId="10" xfId="44" applyNumberFormat="1" applyFont="1" applyFill="1" applyBorder="1" applyAlignment="1">
      <alignment horizontal="right"/>
    </xf>
    <xf numFmtId="0" fontId="25" fillId="33" borderId="10" xfId="43" applyFont="1" applyFill="1" applyBorder="1" applyAlignment="1">
      <alignment horizontal="center"/>
    </xf>
    <xf numFmtId="1" fontId="28" fillId="33" borderId="10" xfId="43" applyNumberFormat="1" applyFont="1" applyFill="1" applyBorder="1" applyAlignment="1">
      <alignment horizontal="right"/>
    </xf>
    <xf numFmtId="0" fontId="25" fillId="33" borderId="10" xfId="43" applyFont="1" applyFill="1" applyBorder="1"/>
    <xf numFmtId="1" fontId="25" fillId="43" borderId="10" xfId="43" applyNumberFormat="1" applyFont="1" applyFill="1" applyBorder="1" applyAlignment="1">
      <alignment horizontal="left"/>
    </xf>
    <xf numFmtId="1" fontId="29" fillId="43" borderId="10" xfId="45" applyNumberFormat="1" applyFont="1" applyFill="1" applyBorder="1" applyAlignment="1">
      <alignment horizontal="right"/>
    </xf>
    <xf numFmtId="3" fontId="29" fillId="43" borderId="10" xfId="45" applyNumberFormat="1" applyFont="1" applyFill="1" applyBorder="1" applyAlignment="1">
      <alignment horizontal="right"/>
    </xf>
    <xf numFmtId="0" fontId="25" fillId="33" borderId="10" xfId="43" applyFont="1" applyFill="1" applyBorder="1" applyAlignment="1">
      <alignment horizontal="right"/>
    </xf>
    <xf numFmtId="0" fontId="30" fillId="0" borderId="11" xfId="43" applyFont="1" applyBorder="1" applyAlignment="1">
      <alignment vertical="center"/>
    </xf>
    <xf numFmtId="0" fontId="30" fillId="0" borderId="12" xfId="43" applyFont="1" applyBorder="1" applyAlignment="1">
      <alignment vertical="center"/>
    </xf>
    <xf numFmtId="0" fontId="30" fillId="0" borderId="0" xfId="43" applyFont="1" applyAlignment="1">
      <alignment vertical="center" wrapText="1"/>
    </xf>
    <xf numFmtId="0" fontId="31" fillId="0" borderId="0" xfId="45" applyFont="1" applyAlignment="1">
      <alignment horizontal="left" vertical="center" wrapText="1"/>
    </xf>
    <xf numFmtId="0" fontId="30" fillId="0" borderId="0" xfId="43" applyFont="1" applyAlignment="1">
      <alignment horizontal="left" vertical="center" wrapText="1"/>
    </xf>
    <xf numFmtId="0" fontId="32" fillId="0" borderId="0" xfId="45" quotePrefix="1" applyFont="1" applyAlignment="1">
      <alignment horizontal="left"/>
    </xf>
    <xf numFmtId="0" fontId="29" fillId="0" borderId="0" xfId="43" applyFont="1"/>
    <xf numFmtId="0" fontId="33" fillId="0" borderId="0" xfId="43" applyFont="1"/>
    <xf numFmtId="0" fontId="34" fillId="0" borderId="0" xfId="42" applyFont="1"/>
    <xf numFmtId="0" fontId="33" fillId="0" borderId="0" xfId="43" applyFont="1" applyAlignment="1">
      <alignment horizontal="left"/>
    </xf>
    <xf numFmtId="0" fontId="26" fillId="0" borderId="0" xfId="42" applyFont="1"/>
    <xf numFmtId="0" fontId="30" fillId="0" borderId="0" xfId="43" quotePrefix="1" applyFont="1" applyAlignment="1">
      <alignment horizontal="left"/>
    </xf>
    <xf numFmtId="0" fontId="35" fillId="0" borderId="0" xfId="43" applyFont="1"/>
    <xf numFmtId="1" fontId="27" fillId="43" borderId="10" xfId="44" applyNumberFormat="1" applyFont="1" applyFill="1" applyBorder="1" applyAlignment="1">
      <alignment horizont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/>
    <xf numFmtId="0" fontId="35" fillId="33" borderId="10" xfId="43" applyFont="1" applyFill="1" applyBorder="1" applyAlignment="1">
      <alignment horizontal="center" vertical="center"/>
    </xf>
    <xf numFmtId="1" fontId="28" fillId="37" borderId="10" xfId="44" applyNumberFormat="1" applyFont="1" applyFill="1" applyBorder="1" applyAlignment="1">
      <alignment horizontal="center"/>
    </xf>
    <xf numFmtId="0" fontId="29" fillId="37" borderId="10" xfId="0" applyFont="1" applyFill="1" applyBorder="1" applyAlignment="1">
      <alignment horizontal="center"/>
    </xf>
    <xf numFmtId="0" fontId="0" fillId="37" borderId="10" xfId="0" applyFill="1" applyBorder="1"/>
    <xf numFmtId="1" fontId="28" fillId="37" borderId="10" xfId="44" applyNumberFormat="1" applyFont="1" applyFill="1" applyBorder="1" applyAlignment="1">
      <alignment horizontal="right"/>
    </xf>
    <xf numFmtId="0" fontId="0" fillId="46" borderId="10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49" borderId="0" xfId="0" applyFill="1" applyAlignment="1">
      <alignment horizontal="left"/>
    </xf>
    <xf numFmtId="0" fontId="17" fillId="50" borderId="10" xfId="0" applyFont="1" applyFill="1" applyBorder="1" applyAlignment="1">
      <alignment horizontal="center"/>
    </xf>
    <xf numFmtId="0" fontId="0" fillId="44" borderId="0" xfId="0" applyFill="1" applyAlignment="1">
      <alignment horizontal="center" vertical="center"/>
    </xf>
    <xf numFmtId="0" fontId="0" fillId="42" borderId="0" xfId="0" applyFill="1" applyAlignment="1">
      <alignment horizontal="center"/>
    </xf>
    <xf numFmtId="0" fontId="36" fillId="42" borderId="0" xfId="0" applyFont="1" applyFill="1" applyAlignment="1">
      <alignment horizontal="center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51" borderId="10" xfId="0" applyFill="1" applyBorder="1" applyAlignment="1">
      <alignment horizontal="center" vertical="center"/>
    </xf>
    <xf numFmtId="0" fontId="0" fillId="52" borderId="10" xfId="0" applyFill="1" applyBorder="1" applyAlignment="1">
      <alignment horizontal="center" vertical="center"/>
    </xf>
    <xf numFmtId="165" fontId="0" fillId="52" borderId="10" xfId="0" applyNumberFormat="1" applyFill="1" applyBorder="1" applyAlignment="1">
      <alignment horizontal="center" vertical="center"/>
    </xf>
    <xf numFmtId="165" fontId="0" fillId="51" borderId="10" xfId="0" applyNumberFormat="1" applyFill="1" applyBorder="1" applyAlignment="1">
      <alignment horizontal="center" vertical="center"/>
    </xf>
    <xf numFmtId="0" fontId="17" fillId="53" borderId="10" xfId="0" applyFont="1" applyFill="1" applyBorder="1" applyAlignment="1">
      <alignment horizontal="left"/>
    </xf>
    <xf numFmtId="0" fontId="17" fillId="53" borderId="10" xfId="0" applyFont="1" applyFill="1" applyBorder="1" applyAlignment="1">
      <alignment horizontal="center"/>
    </xf>
    <xf numFmtId="0" fontId="13" fillId="53" borderId="10" xfId="0" applyFont="1" applyFill="1" applyBorder="1" applyAlignment="1">
      <alignment horizontal="center" vertical="center"/>
    </xf>
    <xf numFmtId="0" fontId="13" fillId="53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2" fillId="0" borderId="0" xfId="42" applyFont="1" applyAlignment="1">
      <alignment horizontal="right"/>
    </xf>
    <xf numFmtId="0" fontId="23" fillId="37" borderId="10" xfId="42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42" borderId="0" xfId="0" applyFill="1" applyAlignment="1">
      <alignment horizontal="center"/>
    </xf>
    <xf numFmtId="0" fontId="37" fillId="42" borderId="0" xfId="0" applyFont="1" applyFill="1" applyAlignment="1">
      <alignment horizontal="center" vertical="center" wrapText="1"/>
    </xf>
    <xf numFmtId="0" fontId="23" fillId="44" borderId="10" xfId="42" applyFont="1" applyFill="1" applyBorder="1" applyAlignment="1">
      <alignment horizontal="center" vertical="center"/>
    </xf>
    <xf numFmtId="0" fontId="17" fillId="45" borderId="10" xfId="0" applyFon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1" fontId="0" fillId="47" borderId="10" xfId="0" applyNumberFormat="1" applyFill="1" applyBorder="1" applyAlignment="1">
      <alignment horizontal="center" vertical="center"/>
    </xf>
    <xf numFmtId="2" fontId="0" fillId="36" borderId="10" xfId="0" applyNumberFormat="1" applyFill="1" applyBorder="1" applyAlignment="1">
      <alignment horizontal="center" vertical="center"/>
    </xf>
    <xf numFmtId="0" fontId="17" fillId="48" borderId="0" xfId="0" applyFont="1" applyFill="1" applyAlignment="1">
      <alignment horizontal="left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3 5" xfId="44" xr:uid="{201F3084-29E5-4D29-8AEF-3EEA4959FDA3}"/>
    <cellStyle name="Normal 259" xfId="43" xr:uid="{68803FE8-1FBB-482D-B5B1-56F462EBA87D}"/>
    <cellStyle name="Normal 259 4" xfId="45" xr:uid="{60C1E2E3-124B-4007-9CAD-63EC542FEC6A}"/>
    <cellStyle name="Normal 4 2" xfId="42" xr:uid="{3F406967-9D13-4581-9B3D-074FBD0C118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vertical="center"/>
    </dxf>
    <dxf>
      <alignment vertical="center"/>
    </dxf>
    <dxf>
      <alignment vertical="center"/>
    </dxf>
    <dxf>
      <alignment horizontal="center"/>
    </dxf>
    <dxf>
      <alignment horizontal="general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405736545088307"/>
          <c:y val="1.8219331279242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731682636056035E-2"/>
          <c:y val="0.19690195730364624"/>
          <c:w val="0.84392399948754837"/>
          <c:h val="0.74112774837571538"/>
        </c:manualLayout>
      </c:layout>
      <c:pie3DChart>
        <c:varyColors val="1"/>
        <c:ser>
          <c:idx val="1"/>
          <c:order val="1"/>
          <c:tx>
            <c:strRef>
              <c:f>'Q1'!$H$2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EE1B-49F8-9B67-A2B7BDFBFA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EE1B-49F8-9B67-A2B7BDFBFA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EE1B-49F8-9B67-A2B7BDFBFA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EE1B-49F8-9B67-A2B7BDFBFA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EE1B-49F8-9B67-A2B7BDFBFA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EE1B-49F8-9B67-A2B7BDFBFA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EE1B-49F8-9B67-A2B7BDFBFA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EE1B-49F8-9B67-A2B7BDFBFA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EE1B-49F8-9B67-A2B7BDFBFA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'Q1'!$F$3:$F$11</c:f>
              <c:strCache>
                <c:ptCount val="9"/>
                <c:pt idx="0">
                  <c:v>Food </c:v>
                </c:pt>
                <c:pt idx="1">
                  <c:v>Addiction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Health</c:v>
                </c:pt>
                <c:pt idx="6">
                  <c:v>Education</c:v>
                </c:pt>
                <c:pt idx="7">
                  <c:v>Transportation</c:v>
                </c:pt>
                <c:pt idx="8">
                  <c:v>Miscellaneous</c:v>
                </c:pt>
              </c:strCache>
            </c:strRef>
          </c:cat>
          <c:val>
            <c:numRef>
              <c:f>'Q1'!$H$3:$H$11</c:f>
              <c:numCache>
                <c:formatCode>General</c:formatCode>
                <c:ptCount val="9"/>
                <c:pt idx="0">
                  <c:v>2152</c:v>
                </c:pt>
                <c:pt idx="1">
                  <c:v>387.29999999999995</c:v>
                </c:pt>
                <c:pt idx="2">
                  <c:v>528.70000000000005</c:v>
                </c:pt>
                <c:pt idx="3">
                  <c:v>175.6</c:v>
                </c:pt>
                <c:pt idx="4">
                  <c:v>183.4</c:v>
                </c:pt>
                <c:pt idx="5">
                  <c:v>182.2</c:v>
                </c:pt>
                <c:pt idx="6">
                  <c:v>174.8</c:v>
                </c:pt>
                <c:pt idx="7">
                  <c:v>160.4</c:v>
                </c:pt>
                <c:pt idx="8">
                  <c:v>696.5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5-471D-AC59-2B7F6BAEAB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'Q1'!$G$2</c15:sqref>
                        </c15:formulaRef>
                      </c:ext>
                    </c:extLst>
                    <c:strCache>
                      <c:ptCount val="1"/>
                      <c:pt idx="0">
                        <c:v>Rural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1-EE1B-49F8-9B67-A2B7BDFBFA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3-EE1B-49F8-9B67-A2B7BDFBFA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5-EE1B-49F8-9B67-A2B7BDFBFAC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7-EE1B-49F8-9B67-A2B7BDFBFAC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9-EE1B-49F8-9B67-A2B7BDFBFACE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B-EE1B-49F8-9B67-A2B7BDFBFACE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D-EE1B-49F8-9B67-A2B7BDFBFACE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F-EE1B-49F8-9B67-A2B7BDFBFACE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1-EE1B-49F8-9B67-A2B7BDFBFAC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'Q1'!$F$3:$F$11</c15:sqref>
                        </c15:formulaRef>
                      </c:ext>
                    </c:extLst>
                    <c:strCache>
                      <c:ptCount val="9"/>
                      <c:pt idx="0">
                        <c:v>Food </c:v>
                      </c:pt>
                      <c:pt idx="1">
                        <c:v>Addiction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Energy</c:v>
                      </c:pt>
                      <c:pt idx="5">
                        <c:v>Health</c:v>
                      </c:pt>
                      <c:pt idx="6">
                        <c:v>Education</c:v>
                      </c:pt>
                      <c:pt idx="7">
                        <c:v>Transportation</c:v>
                      </c:pt>
                      <c:pt idx="8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'Q1'!$G$3:$G$11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2113.9000000000005</c:v>
                      </c:pt>
                      <c:pt idx="1">
                        <c:v>376.70000000000005</c:v>
                      </c:pt>
                      <c:pt idx="2">
                        <c:v>569.90000000000009</c:v>
                      </c:pt>
                      <c:pt idx="3">
                        <c:v>0</c:v>
                      </c:pt>
                      <c:pt idx="4">
                        <c:v>182.5</c:v>
                      </c:pt>
                      <c:pt idx="5">
                        <c:v>187.8</c:v>
                      </c:pt>
                      <c:pt idx="6">
                        <c:v>180.3</c:v>
                      </c:pt>
                      <c:pt idx="7">
                        <c:v>169.7</c:v>
                      </c:pt>
                      <c:pt idx="8">
                        <c:v>718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05-471D-AC59-2B7F6BAEABEA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'Q1'!$I$2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25-EE1B-49F8-9B67-A2B7BDFBFAC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27-EE1B-49F8-9B67-A2B7BDFBFAC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29-EE1B-49F8-9B67-A2B7BDFBFAC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2B-EE1B-49F8-9B67-A2B7BDFBFAC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2D-EE1B-49F8-9B67-A2B7BDFBFACE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2F-EE1B-49F8-9B67-A2B7BDFBFACE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1-EE1B-49F8-9B67-A2B7BDFBFACE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3-EE1B-49F8-9B67-A2B7BDFBFACE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5-EE1B-49F8-9B67-A2B7BDFBFAC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'Q1'!$F$3:$F$11</c15:sqref>
                        </c15:formulaRef>
                      </c:ext>
                    </c:extLst>
                    <c:strCache>
                      <c:ptCount val="9"/>
                      <c:pt idx="0">
                        <c:v>Food </c:v>
                      </c:pt>
                      <c:pt idx="1">
                        <c:v>Addiction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Energy</c:v>
                      </c:pt>
                      <c:pt idx="5">
                        <c:v>Health</c:v>
                      </c:pt>
                      <c:pt idx="6">
                        <c:v>Education</c:v>
                      </c:pt>
                      <c:pt idx="7">
                        <c:v>Transportation</c:v>
                      </c:pt>
                      <c:pt idx="8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'Q1'!$I$3:$I$11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2127.8000000000002</c:v>
                      </c:pt>
                      <c:pt idx="1">
                        <c:v>380.1</c:v>
                      </c:pt>
                      <c:pt idx="2">
                        <c:v>553.20000000000005</c:v>
                      </c:pt>
                      <c:pt idx="3">
                        <c:v>175.6</c:v>
                      </c:pt>
                      <c:pt idx="4">
                        <c:v>182.8</c:v>
                      </c:pt>
                      <c:pt idx="5">
                        <c:v>185.7</c:v>
                      </c:pt>
                      <c:pt idx="6">
                        <c:v>177.1</c:v>
                      </c:pt>
                      <c:pt idx="7">
                        <c:v>164.8</c:v>
                      </c:pt>
                      <c:pt idx="8">
                        <c:v>707.3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C05-471D-AC59-2B7F6BAEABEA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'Q2'!$D$16</c:f>
              <c:strCache>
                <c:ptCount val="1"/>
                <c:pt idx="0">
                  <c:v>Year-over-Year(Y-O-Y) Inflation growth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'Q2'!$C$17:$C$22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'Q2'!$D$17:$D$22</c:f>
              <c:numCache>
                <c:formatCode>0.00</c:formatCode>
                <c:ptCount val="6"/>
                <c:pt idx="0">
                  <c:v>5.2954719877206262</c:v>
                </c:pt>
                <c:pt idx="1">
                  <c:v>2.3374726077428698</c:v>
                </c:pt>
                <c:pt idx="2">
                  <c:v>7.7363896848137621</c:v>
                </c:pt>
                <c:pt idx="3">
                  <c:v>5.7922769640479483</c:v>
                </c:pt>
                <c:pt idx="4">
                  <c:v>5.6579783852510976</c:v>
                </c:pt>
                <c:pt idx="5">
                  <c:v>6.0350030175015092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4-4A88-91A5-479A4ABE60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94784879"/>
        <c:axId val="258989983"/>
        <c:axId val="0"/>
      </c:bar3DChart>
      <c:catAx>
        <c:axId val="39478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89983"/>
        <c:crosses val="autoZero"/>
        <c:auto val="1"/>
        <c:lblAlgn val="ctr"/>
        <c:lblOffset val="100"/>
        <c:noMultiLvlLbl val="0"/>
      </c:catAx>
      <c:valAx>
        <c:axId val="2589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8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Crude Oil Fluctuation in 2021-2022</a:t>
            </a:r>
          </a:p>
        </c:rich>
      </c:tx>
      <c:layout>
        <c:manualLayout>
          <c:xMode val="edge"/>
          <c:yMode val="edge"/>
          <c:x val="0.240116605000560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37710161795387"/>
          <c:y val="0.21078692061398085"/>
          <c:w val="0.8806836330120692"/>
          <c:h val="0.53250692621755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'Q5'!$A$6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threePt" dir="t"/>
            </a:scene3d>
            <a:sp3d prstMaterial="metal">
              <a:bevelT w="165100" prst="coolSlant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freezing" dir="t"/>
              </a:scene3d>
              <a:sp3d prstMaterial="metal"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C24A-4F16-9581-CB6353AA4F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'Q5'!$B$6</c:f>
              <c:numCache>
                <c:formatCode>0</c:formatCode>
                <c:ptCount val="1"/>
                <c:pt idx="0">
                  <c:v>86692.515382787504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0-4316-A7BB-B56EDC058B8B}"/>
            </c:ext>
          </c:extLst>
        </c:ser>
        <c:ser>
          <c:idx val="1"/>
          <c:order val="1"/>
          <c:tx>
            <c:strRef>
              <c:f>'Q5'!$A$7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'Q5'!$B$7</c:f>
              <c:numCache>
                <c:formatCode>0</c:formatCode>
                <c:ptCount val="1"/>
                <c:pt idx="0">
                  <c:v>87441.416368947481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0-4316-A7BB-B56EDC058B8B}"/>
            </c:ext>
          </c:extLst>
        </c:ser>
        <c:ser>
          <c:idx val="2"/>
          <c:order val="2"/>
          <c:tx>
            <c:strRef>
              <c:f>'Q5'!$A$8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'Q5'!$B$8</c:f>
              <c:numCache>
                <c:formatCode>0</c:formatCode>
                <c:ptCount val="1"/>
                <c:pt idx="0">
                  <c:v>113228.86524779514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0-4316-A7BB-B56EDC058B8B}"/>
            </c:ext>
          </c:extLst>
        </c:ser>
        <c:ser>
          <c:idx val="3"/>
          <c:order val="3"/>
          <c:tx>
            <c:strRef>
              <c:f>'Q5'!$A$9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'Q5'!$B$9</c:f>
              <c:numCache>
                <c:formatCode>0</c:formatCode>
                <c:ptCount val="1"/>
                <c:pt idx="0">
                  <c:v>63309.498622749867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00-4316-A7BB-B56EDC058B8B}"/>
            </c:ext>
          </c:extLst>
        </c:ser>
        <c:ser>
          <c:idx val="4"/>
          <c:order val="4"/>
          <c:tx>
            <c:strRef>
              <c:f>'Q5'!$A$10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'Q5'!$B$10</c:f>
              <c:numCache>
                <c:formatCode>0</c:formatCode>
                <c:ptCount val="1"/>
                <c:pt idx="0">
                  <c:v>60800.383481587211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00-4316-A7BB-B56EDC058B8B}"/>
            </c:ext>
          </c:extLst>
        </c:ser>
        <c:ser>
          <c:idx val="5"/>
          <c:order val="5"/>
          <c:tx>
            <c:strRef>
              <c:f>'Q5'!$A$11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'Q5'!$B$11</c:f>
              <c:numCache>
                <c:formatCode>0</c:formatCode>
                <c:ptCount val="1"/>
                <c:pt idx="0">
                  <c:v>61073.298999169296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00-4316-A7BB-B56EDC058B8B}"/>
            </c:ext>
          </c:extLst>
        </c:ser>
        <c:ser>
          <c:idx val="6"/>
          <c:order val="6"/>
          <c:tx>
            <c:strRef>
              <c:f>'Q5'!$A$12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'Q5'!$B$12</c:f>
              <c:numCache>
                <c:formatCode>0</c:formatCode>
                <c:ptCount val="1"/>
                <c:pt idx="0">
                  <c:v>59460.950438057756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00-4316-A7BB-B56EDC058B8B}"/>
            </c:ext>
          </c:extLst>
        </c:ser>
        <c:ser>
          <c:idx val="7"/>
          <c:order val="7"/>
          <c:tx>
            <c:strRef>
              <c:f>'Q5'!$A$13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'Q5'!$B$13</c:f>
              <c:numCache>
                <c:formatCode>0</c:formatCode>
                <c:ptCount val="1"/>
                <c:pt idx="0">
                  <c:v>67310.659830633638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00-4316-A7BB-B56EDC058B8B}"/>
            </c:ext>
          </c:extLst>
        </c:ser>
        <c:ser>
          <c:idx val="8"/>
          <c:order val="8"/>
          <c:tx>
            <c:strRef>
              <c:f>'Q5'!$A$14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'Q5'!$B$14</c:f>
              <c:numCache>
                <c:formatCode>0</c:formatCode>
                <c:ptCount val="1"/>
                <c:pt idx="0">
                  <c:v>69109.876194440018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00-4316-A7BB-B56EDC058B8B}"/>
            </c:ext>
          </c:extLst>
        </c:ser>
        <c:ser>
          <c:idx val="9"/>
          <c:order val="9"/>
          <c:tx>
            <c:strRef>
              <c:f>'Q5'!$A$15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'Q5'!$B$15</c:f>
              <c:numCache>
                <c:formatCode>0</c:formatCode>
                <c:ptCount val="1"/>
                <c:pt idx="0">
                  <c:v>72054.19693085934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00-4316-A7BB-B56EDC058B8B}"/>
            </c:ext>
          </c:extLst>
        </c:ser>
        <c:ser>
          <c:idx val="10"/>
          <c:order val="10"/>
          <c:tx>
            <c:strRef>
              <c:f>'Q5'!$A$16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'Q5'!$B$16</c:f>
              <c:numCache>
                <c:formatCode>0</c:formatCode>
                <c:ptCount val="1"/>
                <c:pt idx="0">
                  <c:v>79009.388695268004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00-4316-A7BB-B56EDC058B8B}"/>
            </c:ext>
          </c:extLst>
        </c:ser>
        <c:ser>
          <c:idx val="11"/>
          <c:order val="11"/>
          <c:tx>
            <c:strRef>
              <c:f>'Q5'!$A$17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freezing" dir="t"/>
            </a:scene3d>
            <a:sp3d prstMaterial="metal"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'Q5'!$B$5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'Q5'!$B$17</c:f>
              <c:numCache>
                <c:formatCode>0</c:formatCode>
                <c:ptCount val="1"/>
                <c:pt idx="0">
                  <c:v>81771.141778992853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A00-4316-A7BB-B56EDC058B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1104479"/>
        <c:axId val="1183553807"/>
      </c:barChart>
      <c:catAx>
        <c:axId val="1191104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53807"/>
        <c:crosses val="autoZero"/>
        <c:auto val="1"/>
        <c:lblAlgn val="ctr"/>
        <c:lblOffset val="100"/>
        <c:noMultiLvlLbl val="0"/>
      </c:catAx>
      <c:valAx>
        <c:axId val="1183553807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0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Crude Oil </a:t>
            </a:r>
            <a:r>
              <a:rPr lang="en-US" sz="1800" b="1"/>
              <a:t>Fluctuation</a:t>
            </a:r>
            <a:r>
              <a:rPr lang="en-US" sz="1800"/>
              <a:t> in 2022-2023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'Q5'!$A$23</c:f>
              <c:strCache>
                <c:ptCount val="1"/>
                <c:pt idx="0">
                  <c:v>JANUARY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'Q5'!$B$23</c:f>
              <c:numCache>
                <c:formatCode>0</c:formatCode>
                <c:ptCount val="1"/>
                <c:pt idx="0">
                  <c:v>92441.854830099124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1-4279-9E07-F7008C0C9EDA}"/>
            </c:ext>
          </c:extLst>
        </c:ser>
        <c:ser>
          <c:idx val="1"/>
          <c:order val="1"/>
          <c:tx>
            <c:strRef>
              <c:f>'Q5'!$A$24</c:f>
              <c:strCache>
                <c:ptCount val="1"/>
                <c:pt idx="0">
                  <c:v>FEBRUARY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'Q5'!$B$24</c:f>
              <c:numCache>
                <c:formatCode>0</c:formatCode>
                <c:ptCount val="1"/>
                <c:pt idx="0">
                  <c:v>85798.258921224522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1-4279-9E07-F7008C0C9EDA}"/>
            </c:ext>
          </c:extLst>
        </c:ser>
        <c:ser>
          <c:idx val="2"/>
          <c:order val="2"/>
          <c:tx>
            <c:strRef>
              <c:f>'Q5'!$A$25</c:f>
              <c:strCache>
                <c:ptCount val="1"/>
                <c:pt idx="0">
                  <c:v>MARCH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'Q5'!$B$25</c:f>
              <c:numCache>
                <c:formatCode>0</c:formatCode>
                <c:ptCount val="1"/>
                <c:pt idx="0">
                  <c:v>89613.478577777831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1-4279-9E07-F7008C0C9EDA}"/>
            </c:ext>
          </c:extLst>
        </c:ser>
        <c:ser>
          <c:idx val="3"/>
          <c:order val="3"/>
          <c:tx>
            <c:strRef>
              <c:f>'Q5'!$A$26</c:f>
              <c:strCache>
                <c:ptCount val="1"/>
                <c:pt idx="0">
                  <c:v>APRIL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'Q5'!$B$26</c:f>
              <c:numCache>
                <c:formatCode>0</c:formatCode>
                <c:ptCount val="1"/>
                <c:pt idx="0">
                  <c:v>128800.06584155018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1-4279-9E07-F7008C0C9EDA}"/>
            </c:ext>
          </c:extLst>
        </c:ser>
        <c:ser>
          <c:idx val="4"/>
          <c:order val="4"/>
          <c:tx>
            <c:strRef>
              <c:f>'Q5'!$A$27</c:f>
              <c:strCache>
                <c:ptCount val="1"/>
                <c:pt idx="0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'Q5'!$B$27</c:f>
              <c:numCache>
                <c:formatCode>0</c:formatCode>
                <c:ptCount val="1"/>
                <c:pt idx="0">
                  <c:v>119633.62181054099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21-4279-9E07-F7008C0C9EDA}"/>
            </c:ext>
          </c:extLst>
        </c:ser>
        <c:ser>
          <c:idx val="5"/>
          <c:order val="5"/>
          <c:tx>
            <c:strRef>
              <c:f>'Q5'!$A$28</c:f>
              <c:strCache>
                <c:ptCount val="1"/>
                <c:pt idx="0">
                  <c:v>JUNE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'Q5'!$B$28</c:f>
              <c:numCache>
                <c:formatCode>0</c:formatCode>
                <c:ptCount val="1"/>
                <c:pt idx="0">
                  <c:v>121897.63969956485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21-4279-9E07-F7008C0C9EDA}"/>
            </c:ext>
          </c:extLst>
        </c:ser>
        <c:ser>
          <c:idx val="6"/>
          <c:order val="6"/>
          <c:tx>
            <c:strRef>
              <c:f>'Q5'!$A$29</c:f>
              <c:strCache>
                <c:ptCount val="1"/>
                <c:pt idx="0">
                  <c:v>JULY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'Q5'!$B$29</c:f>
              <c:numCache>
                <c:formatCode>0</c:formatCode>
                <c:ptCount val="1"/>
                <c:pt idx="0">
                  <c:v>128755.46490262874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21-4279-9E07-F7008C0C9EDA}"/>
            </c:ext>
          </c:extLst>
        </c:ser>
        <c:ser>
          <c:idx val="7"/>
          <c:order val="7"/>
          <c:tx>
            <c:strRef>
              <c:f>'Q5'!$A$30</c:f>
              <c:strCache>
                <c:ptCount val="1"/>
                <c:pt idx="0">
                  <c:v>AUGUST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'Q5'!$B$30</c:f>
              <c:numCache>
                <c:formatCode>0</c:formatCode>
                <c:ptCount val="1"/>
                <c:pt idx="0">
                  <c:v>104567.31614182114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21-4279-9E07-F7008C0C9EDA}"/>
            </c:ext>
          </c:extLst>
        </c:ser>
        <c:ser>
          <c:idx val="8"/>
          <c:order val="8"/>
          <c:tx>
            <c:strRef>
              <c:f>'Q5'!$A$31</c:f>
              <c:strCache>
                <c:ptCount val="1"/>
                <c:pt idx="0">
                  <c:v>SEPTEMBER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'Q5'!$B$31</c:f>
              <c:numCache>
                <c:formatCode>0</c:formatCode>
                <c:ptCount val="1"/>
                <c:pt idx="0">
                  <c:v>95157.741525290738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21-4279-9E07-F7008C0C9EDA}"/>
            </c:ext>
          </c:extLst>
        </c:ser>
        <c:ser>
          <c:idx val="9"/>
          <c:order val="9"/>
          <c:tx>
            <c:strRef>
              <c:f>'Q5'!$A$32</c:f>
              <c:strCache>
                <c:ptCount val="1"/>
                <c:pt idx="0">
                  <c:v>OCTOBER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'Q5'!$B$32</c:f>
              <c:numCache>
                <c:formatCode>0</c:formatCode>
                <c:ptCount val="1"/>
                <c:pt idx="0">
                  <c:v>99194.385511237808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21-4279-9E07-F7008C0C9EDA}"/>
            </c:ext>
          </c:extLst>
        </c:ser>
        <c:ser>
          <c:idx val="10"/>
          <c:order val="10"/>
          <c:tx>
            <c:strRef>
              <c:f>'Q5'!$A$33</c:f>
              <c:strCache>
                <c:ptCount val="1"/>
                <c:pt idx="0">
                  <c:v>NOVEMBER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'Q5'!$B$33</c:f>
              <c:numCache>
                <c:formatCode>0</c:formatCode>
                <c:ptCount val="1"/>
                <c:pt idx="0">
                  <c:v>100258.75918442282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21-4279-9E07-F7008C0C9EDA}"/>
            </c:ext>
          </c:extLst>
        </c:ser>
        <c:ser>
          <c:idx val="11"/>
          <c:order val="11"/>
          <c:tx>
            <c:strRef>
              <c:f>'Q5'!$A$34</c:f>
              <c:strCache>
                <c:ptCount val="1"/>
                <c:pt idx="0">
                  <c:v>DECEMBER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'Q5'!$B$22</c:f>
              <c:strCache>
                <c:ptCount val="1"/>
                <c:pt idx="0">
                  <c:v>Cruid oil Import</c:v>
                </c:pt>
              </c:strCache>
            </c:strRef>
          </c:cat>
          <c:val>
            <c:numRef>
              <c:f>'Q5'!$B$34</c:f>
              <c:numCache>
                <c:formatCode>0</c:formatCode>
                <c:ptCount val="1"/>
                <c:pt idx="0">
                  <c:v>94253.237400611397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21-4279-9E07-F7008C0C9E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90298464"/>
        <c:axId val="1390307584"/>
      </c:barChart>
      <c:catAx>
        <c:axId val="13902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07584"/>
        <c:crosses val="autoZero"/>
        <c:auto val="1"/>
        <c:lblAlgn val="ctr"/>
        <c:lblOffset val="100"/>
        <c:noMultiLvlLbl val="0"/>
      </c:catAx>
      <c:valAx>
        <c:axId val="139030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9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/>
              <a:t>Corelation b/w Crude Oil and Other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278500736443268E-2"/>
          <c:y val="8.6733274313899072E-2"/>
          <c:w val="0.74787337436860668"/>
          <c:h val="0.883223225390852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Corelation!$A$30</c:f>
              <c:strCache>
                <c:ptCount val="1"/>
                <c:pt idx="0">
                  <c:v>Corelation b/w Crude Oil and Other Category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83F-40E6-93B6-F395E492F78F}"/>
            </c:ext>
          </c:extLst>
        </c:ser>
        <c:ser>
          <c:idx val="1"/>
          <c:order val="1"/>
          <c:tx>
            <c:strRef>
              <c:f>Corelation!$A$31</c:f>
              <c:strCache>
                <c:ptCount val="1"/>
                <c:pt idx="0">
                  <c:v>Cereals and products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Corelation!$B$31</c:f>
              <c:numCache>
                <c:formatCode>General</c:formatCode>
                <c:ptCount val="1"/>
                <c:pt idx="0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F-40E6-93B6-F395E492F78F}"/>
            </c:ext>
          </c:extLst>
        </c:ser>
        <c:ser>
          <c:idx val="2"/>
          <c:order val="2"/>
          <c:tx>
            <c:strRef>
              <c:f>Corelation!$A$32</c:f>
              <c:strCache>
                <c:ptCount val="1"/>
                <c:pt idx="0">
                  <c:v>Meat and fish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Corelation!$B$32</c:f>
              <c:numCache>
                <c:formatCode>General</c:formatCode>
                <c:ptCount val="1"/>
                <c:pt idx="0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3F-40E6-93B6-F395E492F78F}"/>
            </c:ext>
          </c:extLst>
        </c:ser>
        <c:ser>
          <c:idx val="3"/>
          <c:order val="3"/>
          <c:tx>
            <c:strRef>
              <c:f>Corelation!$A$33</c:f>
              <c:strCache>
                <c:ptCount val="1"/>
                <c:pt idx="0">
                  <c:v>Egg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Corelation!$B$33</c:f>
              <c:numCache>
                <c:formatCode>General</c:formatCode>
                <c:ptCount val="1"/>
                <c:pt idx="0">
                  <c:v>-0.28999999999999998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3F-40E6-93B6-F395E492F78F}"/>
            </c:ext>
          </c:extLst>
        </c:ser>
        <c:ser>
          <c:idx val="4"/>
          <c:order val="4"/>
          <c:tx>
            <c:strRef>
              <c:f>Corelation!$A$34</c:f>
              <c:strCache>
                <c:ptCount val="1"/>
                <c:pt idx="0">
                  <c:v>Milk and products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Corelation!$B$34</c:f>
              <c:numCache>
                <c:formatCode>General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3F-40E6-93B6-F395E492F78F}"/>
            </c:ext>
          </c:extLst>
        </c:ser>
        <c:ser>
          <c:idx val="5"/>
          <c:order val="5"/>
          <c:tx>
            <c:strRef>
              <c:f>Corelation!$A$35</c:f>
              <c:strCache>
                <c:ptCount val="1"/>
                <c:pt idx="0">
                  <c:v>Oils and fats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Corelation!$B$35</c:f>
              <c:numCache>
                <c:formatCode>General</c:formatCode>
                <c:ptCount val="1"/>
                <c:pt idx="0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3F-40E6-93B6-F395E492F78F}"/>
            </c:ext>
          </c:extLst>
        </c:ser>
        <c:ser>
          <c:idx val="6"/>
          <c:order val="6"/>
          <c:tx>
            <c:strRef>
              <c:f>Corelation!$A$36</c:f>
              <c:strCache>
                <c:ptCount val="1"/>
                <c:pt idx="0">
                  <c:v>Fruits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Corelation!$B$36</c:f>
              <c:numCache>
                <c:formatCode>General</c:formatCode>
                <c:ptCount val="1"/>
                <c:pt idx="0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3F-40E6-93B6-F395E492F78F}"/>
            </c:ext>
          </c:extLst>
        </c:ser>
        <c:ser>
          <c:idx val="7"/>
          <c:order val="7"/>
          <c:tx>
            <c:strRef>
              <c:f>Corelation!$A$37</c:f>
              <c:strCache>
                <c:ptCount val="1"/>
                <c:pt idx="0">
                  <c:v>Vegetables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Corelation!$B$37</c:f>
              <c:numCache>
                <c:formatCode>General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3F-40E6-93B6-F395E492F78F}"/>
            </c:ext>
          </c:extLst>
        </c:ser>
        <c:ser>
          <c:idx val="8"/>
          <c:order val="8"/>
          <c:tx>
            <c:strRef>
              <c:f>Corelation!$A$38</c:f>
              <c:strCache>
                <c:ptCount val="1"/>
                <c:pt idx="0">
                  <c:v>Pulses and products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Corelation!$B$38</c:f>
              <c:numCache>
                <c:formatCode>General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3F-40E6-93B6-F395E492F78F}"/>
            </c:ext>
          </c:extLst>
        </c:ser>
        <c:ser>
          <c:idx val="9"/>
          <c:order val="9"/>
          <c:tx>
            <c:strRef>
              <c:f>Corelation!$A$39</c:f>
              <c:strCache>
                <c:ptCount val="1"/>
                <c:pt idx="0">
                  <c:v>Sugar and Confectionery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Corelation!$B$39</c:f>
              <c:numCache>
                <c:formatCode>General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3F-40E6-93B6-F395E492F78F}"/>
            </c:ext>
          </c:extLst>
        </c:ser>
        <c:ser>
          <c:idx val="10"/>
          <c:order val="10"/>
          <c:tx>
            <c:strRef>
              <c:f>Corelation!$A$40</c:f>
              <c:strCache>
                <c:ptCount val="1"/>
                <c:pt idx="0">
                  <c:v>Spices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Corelation!$B$40</c:f>
              <c:numCache>
                <c:formatCode>General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3F-40E6-93B6-F395E492F78F}"/>
            </c:ext>
          </c:extLst>
        </c:ser>
        <c:ser>
          <c:idx val="11"/>
          <c:order val="11"/>
          <c:tx>
            <c:strRef>
              <c:f>Corelation!$A$41</c:f>
              <c:strCache>
                <c:ptCount val="1"/>
                <c:pt idx="0">
                  <c:v>Non-alcoholic beverages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Corelation!$B$41</c:f>
              <c:numCache>
                <c:formatCode>General</c:formatCode>
                <c:ptCount val="1"/>
                <c:pt idx="0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3F-40E6-93B6-F395E492F78F}"/>
            </c:ext>
          </c:extLst>
        </c:ser>
        <c:ser>
          <c:idx val="12"/>
          <c:order val="12"/>
          <c:tx>
            <c:strRef>
              <c:f>Corelation!$A$42</c:f>
              <c:strCache>
                <c:ptCount val="1"/>
                <c:pt idx="0">
                  <c:v>Prepared meals, snacks, sweets etc.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Corelation!$B$42</c:f>
              <c:numCache>
                <c:formatCode>General</c:formatCode>
                <c:ptCount val="1"/>
                <c:pt idx="0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3F-40E6-93B6-F395E492F78F}"/>
            </c:ext>
          </c:extLst>
        </c:ser>
        <c:ser>
          <c:idx val="13"/>
          <c:order val="13"/>
          <c:tx>
            <c:strRef>
              <c:f>Corelation!$A$43</c:f>
              <c:strCache>
                <c:ptCount val="1"/>
                <c:pt idx="0">
                  <c:v>Food and beverages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Corelation!$B$43</c:f>
              <c:numCache>
                <c:formatCode>General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83F-40E6-93B6-F395E492F78F}"/>
            </c:ext>
          </c:extLst>
        </c:ser>
        <c:ser>
          <c:idx val="14"/>
          <c:order val="14"/>
          <c:tx>
            <c:strRef>
              <c:f>Corelation!$A$44</c:f>
              <c:strCache>
                <c:ptCount val="1"/>
                <c:pt idx="0">
                  <c:v>Pan, tobacco and intoxicants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Corelation!$B$44</c:f>
              <c:numCache>
                <c:formatCode>General</c:formatCode>
                <c:ptCount val="1"/>
                <c:pt idx="0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83F-40E6-93B6-F395E492F78F}"/>
            </c:ext>
          </c:extLst>
        </c:ser>
        <c:ser>
          <c:idx val="15"/>
          <c:order val="15"/>
          <c:tx>
            <c:strRef>
              <c:f>Corelation!$A$45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Corelation!$B$45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3F-40E6-93B6-F395E492F78F}"/>
            </c:ext>
          </c:extLst>
        </c:ser>
        <c:ser>
          <c:idx val="16"/>
          <c:order val="16"/>
          <c:tx>
            <c:strRef>
              <c:f>Corelation!$A$46</c:f>
              <c:strCache>
                <c:ptCount val="1"/>
                <c:pt idx="0">
                  <c:v>Footwear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Corelation!$B$46</c:f>
              <c:numCache>
                <c:formatCode>General</c:formatCode>
                <c:ptCount val="1"/>
                <c:pt idx="0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3F-40E6-93B6-F395E492F78F}"/>
            </c:ext>
          </c:extLst>
        </c:ser>
        <c:ser>
          <c:idx val="17"/>
          <c:order val="17"/>
          <c:tx>
            <c:strRef>
              <c:f>Corelation!$A$47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Corelation!$B$47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3F-40E6-93B6-F395E492F78F}"/>
            </c:ext>
          </c:extLst>
        </c:ser>
        <c:ser>
          <c:idx val="18"/>
          <c:order val="18"/>
          <c:tx>
            <c:strRef>
              <c:f>Corelation!$A$48</c:f>
              <c:strCache>
                <c:ptCount val="1"/>
                <c:pt idx="0">
                  <c:v>Housing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Corelation!$B$48</c:f>
              <c:numCache>
                <c:formatCode>General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83F-40E6-93B6-F395E492F78F}"/>
            </c:ext>
          </c:extLst>
        </c:ser>
        <c:ser>
          <c:idx val="19"/>
          <c:order val="19"/>
          <c:tx>
            <c:strRef>
              <c:f>Corelation!$A$49</c:f>
              <c:strCache>
                <c:ptCount val="1"/>
                <c:pt idx="0">
                  <c:v>Fuel and light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Corelation!$B$49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3F-40E6-93B6-F395E492F78F}"/>
            </c:ext>
          </c:extLst>
        </c:ser>
        <c:ser>
          <c:idx val="20"/>
          <c:order val="20"/>
          <c:tx>
            <c:strRef>
              <c:f>Corelation!$A$50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Corelation!$B$50</c:f>
              <c:numCache>
                <c:formatCode>General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83F-40E6-93B6-F395E492F78F}"/>
            </c:ext>
          </c:extLst>
        </c:ser>
        <c:ser>
          <c:idx val="21"/>
          <c:order val="21"/>
          <c:tx>
            <c:strRef>
              <c:f>Corelation!$A$51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Corelation!$B$51</c:f>
              <c:numCache>
                <c:formatCode>0.00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3F-40E6-93B6-F395E492F78F}"/>
            </c:ext>
          </c:extLst>
        </c:ser>
        <c:ser>
          <c:idx val="22"/>
          <c:order val="22"/>
          <c:tx>
            <c:strRef>
              <c:f>Corelation!$A$52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Corelation!$B$52</c:f>
              <c:numCache>
                <c:formatCode>General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3F-40E6-93B6-F395E492F78F}"/>
            </c:ext>
          </c:extLst>
        </c:ser>
        <c:ser>
          <c:idx val="23"/>
          <c:order val="23"/>
          <c:tx>
            <c:strRef>
              <c:f>Corelation!$A$53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Corelation!$B$53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83F-40E6-93B6-F395E492F78F}"/>
            </c:ext>
          </c:extLst>
        </c:ser>
        <c:ser>
          <c:idx val="24"/>
          <c:order val="24"/>
          <c:tx>
            <c:strRef>
              <c:f>Corelation!$A$54</c:f>
              <c:strCache>
                <c:ptCount val="1"/>
                <c:pt idx="0">
                  <c:v>Education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Corelation!$B$54</c:f>
              <c:numCache>
                <c:formatCode>General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83F-40E6-93B6-F395E492F78F}"/>
            </c:ext>
          </c:extLst>
        </c:ser>
        <c:ser>
          <c:idx val="25"/>
          <c:order val="25"/>
          <c:tx>
            <c:strRef>
              <c:f>Corelation!$A$55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Corelation!$B$55</c:f>
              <c:numCache>
                <c:formatCode>General</c:formatCode>
                <c:ptCount val="1"/>
                <c:pt idx="0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83F-40E6-93B6-F395E492F78F}"/>
            </c:ext>
          </c:extLst>
        </c:ser>
        <c:ser>
          <c:idx val="26"/>
          <c:order val="26"/>
          <c:tx>
            <c:strRef>
              <c:f>Corelation!$A$56</c:f>
              <c:strCache>
                <c:ptCount val="1"/>
                <c:pt idx="0">
                  <c:v>Miscellaneous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Corelation!$B$56</c:f>
              <c:numCache>
                <c:formatCode>General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83F-40E6-93B6-F395E492F78F}"/>
            </c:ext>
          </c:extLst>
        </c:ser>
        <c:ser>
          <c:idx val="27"/>
          <c:order val="27"/>
          <c:tx>
            <c:strRef>
              <c:f>Corelation!$A$57</c:f>
              <c:strCache>
                <c:ptCount val="1"/>
                <c:pt idx="0">
                  <c:v>General index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chilly" dir="t"/>
            </a:scene3d>
            <a:sp3d prstMaterial="matte">
              <a:bevelT w="152400" h="50800" prst="softRound"/>
              <a:bevelB w="152400" h="50800" prst="softRound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Corelation!$B$57</c:f>
              <c:numCache>
                <c:formatCode>General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83F-40E6-93B6-F395E492F7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802831"/>
        <c:axId val="1500463183"/>
      </c:barChart>
      <c:catAx>
        <c:axId val="56802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63183"/>
        <c:crosses val="autoZero"/>
        <c:auto val="1"/>
        <c:lblAlgn val="ctr"/>
        <c:lblOffset val="100"/>
        <c:noMultiLvlLbl val="0"/>
      </c:catAx>
      <c:valAx>
        <c:axId val="15004631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0D981-D3BE-47DD-B505-4919675D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E84F9-5BAA-41D2-A2AC-812F8479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163830</xdr:rowOff>
    </xdr:from>
    <xdr:to>
      <xdr:col>11</xdr:col>
      <xdr:colOff>3299460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52A0B-B445-42EE-B1AF-1E63C84B4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235323</xdr:colOff>
      <xdr:row>15</xdr:row>
      <xdr:rowOff>8963</xdr:rowOff>
    </xdr:from>
    <xdr:to>
      <xdr:col>10</xdr:col>
      <xdr:colOff>661147</xdr:colOff>
      <xdr:row>29</xdr:row>
      <xdr:rowOff>179292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3ADBF-6903-4766-BE51-EF29F852D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802341</xdr:colOff>
      <xdr:row>17</xdr:row>
      <xdr:rowOff>147918</xdr:rowOff>
    </xdr:from>
    <xdr:to>
      <xdr:col>7</xdr:col>
      <xdr:colOff>300318</xdr:colOff>
      <xdr:row>28</xdr:row>
      <xdr:rowOff>58271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0F25673-B6C4-4C37-88EC-3EE759DADC10}"/>
            </a:ext>
          </a:extLst>
        </xdr:cNvPr>
        <xdr:cNvSpPr/>
      </xdr:nvSpPr>
      <xdr:spPr>
        <a:xfrm>
          <a:off x="6364941" y="3272118"/>
          <a:ext cx="578224" cy="19318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1753158</xdr:colOff>
      <xdr:row>30</xdr:row>
      <xdr:rowOff>104620</xdr:rowOff>
    </xdr:from>
    <xdr:to>
      <xdr:col>9</xdr:col>
      <xdr:colOff>21775</xdr:colOff>
      <xdr:row>38</xdr:row>
      <xdr:rowOff>44822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8C3AEABC-BB60-4B66-9E65-75ACB2EC019C}"/>
            </a:ext>
          </a:extLst>
        </xdr:cNvPr>
        <xdr:cNvSpPr/>
      </xdr:nvSpPr>
      <xdr:spPr>
        <a:xfrm rot="10800000">
          <a:off x="3523687" y="5617914"/>
          <a:ext cx="4297382" cy="1410414"/>
        </a:xfrm>
        <a:prstGeom prst="cloud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2313271</xdr:colOff>
      <xdr:row>32</xdr:row>
      <xdr:rowOff>157429</xdr:rowOff>
    </xdr:from>
    <xdr:to>
      <xdr:col>7</xdr:col>
      <xdr:colOff>691155</xdr:colOff>
      <xdr:row>36</xdr:row>
      <xdr:rowOff>145906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F163573-E229-4D1B-89D0-B0F8A5005621}"/>
            </a:ext>
          </a:extLst>
        </xdr:cNvPr>
        <xdr:cNvSpPr txBox="1"/>
      </xdr:nvSpPr>
      <xdr:spPr>
        <a:xfrm rot="21437673">
          <a:off x="4083800" y="6038276"/>
          <a:ext cx="3250202" cy="723583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graph clearly shows that the highest Year-over-Year (YoY) inflation growth rate occurred in 2020 with a peak of 7.74%</a:t>
          </a:r>
          <a:endParaRPr lang="en-IN">
            <a:solidFill>
              <a:schemeClr val="bg1"/>
            </a:solidFill>
            <a:effectLst/>
          </a:endParaRPr>
        </a:p>
        <a:p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89534</xdr:colOff>
      <xdr:row>2</xdr:row>
      <xdr:rowOff>15240</xdr:rowOff>
    </xdr:from>
    <xdr:to>
      <xdr:col>13</xdr:col>
      <xdr:colOff>3809</xdr:colOff>
      <xdr:row>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AB8D16-BBC9-46C9-B273-E5E1C2AAC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102870</xdr:colOff>
      <xdr:row>19</xdr:row>
      <xdr:rowOff>13334</xdr:rowOff>
    </xdr:from>
    <xdr:to>
      <xdr:col>13</xdr:col>
      <xdr:colOff>3810</xdr:colOff>
      <xdr:row>34</xdr:row>
      <xdr:rowOff>175259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6EC62-FA15-9AF4-4CC0-ACD19EDD3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217394</xdr:colOff>
      <xdr:row>29</xdr:row>
      <xdr:rowOff>4481</xdr:rowOff>
    </xdr:from>
    <xdr:to>
      <xdr:col>14</xdr:col>
      <xdr:colOff>268940</xdr:colOff>
      <xdr:row>56</xdr:row>
      <xdr:rowOff>174811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47859-5DF0-408F-8E05-D44F36A1D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al" refreshedDate="45512.648489930558" createdVersion="6" refreshedVersion="6" minRefreshableVersion="3" recordCount="9" xr:uid="{4D8E80F4-78F1-4FB0-95FA-3750F1840E6D}">
  <cacheSource type="worksheet">
    <worksheetSource ref="F2:I11" sheet="Q1"/>
  </cacheSource>
  <cacheFields count="4">
    <cacheField name="Category" numFmtId="0">
      <sharedItems count="9">
        <s v="Food "/>
        <s v="Addiction"/>
        <s v="Clothing"/>
        <s v="Housing"/>
        <s v="Energy"/>
        <s v="Health"/>
        <s v="Education"/>
        <s v="Transportation"/>
        <s v="Miscellaneous"/>
      </sharedItems>
    </cacheField>
    <cacheField name="Rural" numFmtId="0">
      <sharedItems containsSemiMixedTypes="0" containsString="0" containsNumber="1" minValue="0" maxValue="2113.9000000000005"/>
    </cacheField>
    <cacheField name="Urban" numFmtId="0">
      <sharedItems containsSemiMixedTypes="0" containsString="0" containsNumber="1" minValue="160.4" maxValue="2152"/>
    </cacheField>
    <cacheField name="Rural+Urban" numFmtId="0">
      <sharedItems containsSemiMixedTypes="0" containsString="0" containsNumber="1" minValue="164.8" maxValue="2127.8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al" refreshedDate="45516.512849189814" createdVersion="8" refreshedVersion="8" minRefreshableVersion="3" recordCount="37" xr:uid="{AD5789F4-4107-40F5-BBBB-09B44D327F08}">
  <cacheSource type="worksheet">
    <worksheetSource ref="A1:AB38" sheet="Q3 "/>
  </cacheSource>
  <cacheFields count="28">
    <cacheField name="Sector" numFmtId="0">
      <sharedItems/>
    </cacheField>
    <cacheField name="Year" numFmtId="0">
      <sharedItems containsString="0" containsBlank="1" containsNumber="1" containsInteger="1" minValue="2022" maxValue="2023"/>
    </cacheField>
    <cacheField name="Month" numFmtId="0">
      <sharedItems containsBlank="1" count="13"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m/>
      </sharedItems>
    </cacheField>
    <cacheField name="Cereals and products" numFmtId="0">
      <sharedItems containsString="0" containsBlank="1" containsNumber="1" minValue="153.80000000000001" maxValue="174.8"/>
    </cacheField>
    <cacheField name="M-O-M Cereals and products" numFmtId="0">
      <sharedItems containsSemiMixedTypes="0" containsString="0" containsNumber="1" minValue="-100" maxValue="132.66700278985098"/>
    </cacheField>
    <cacheField name="Meat and fish" numFmtId="0">
      <sharedItems containsString="0" containsBlank="1" containsNumber="1" minValue="204.1" maxValue="223.4"/>
    </cacheField>
    <cacheField name="M-O-M Meat and fish" numFmtId="0">
      <sharedItems containsSemiMixedTypes="0" containsString="0" containsNumber="1" minValue="-100" maxValue="179.60631127086697"/>
    </cacheField>
    <cacheField name="Egg" numFmtId="0">
      <sharedItems containsString="0" containsBlank="1" containsNumber="1" minValue="167.9" maxValue="197"/>
    </cacheField>
    <cacheField name="M-O-M Eggs" numFmtId="0">
      <sharedItems containsSemiMixedTypes="0" containsString="0" containsNumber="1" minValue="-100" maxValue="168.66166996282584"/>
    </cacheField>
    <cacheField name="Milk and products" numFmtId="0">
      <sharedItems containsString="0" containsBlank="1" containsNumber="1" minValue="165.4" maxValue="179.6"/>
    </cacheField>
    <cacheField name="M-O-M Milk and products" numFmtId="0">
      <sharedItems containsSemiMixedTypes="0" containsString="0" containsNumber="1" minValue="-100" maxValue="115.92998608918549"/>
    </cacheField>
    <cacheField name="Oils and fats" numFmtId="0">
      <sharedItems containsString="0" containsBlank="1" containsNumber="1" minValue="164.4" maxValue="208.1"/>
    </cacheField>
    <cacheField name="M-O-M Oils and fats" numFmtId="0">
      <sharedItems containsSemiMixedTypes="0" containsString="0" containsNumber="1" minValue="-100" maxValue="263.32483957092796"/>
    </cacheField>
    <cacheField name="Fruits" numFmtId="0">
      <sharedItems containsString="0" containsBlank="1" containsNumber="1" minValue="156.30000000000001" maxValue="179.5"/>
    </cacheField>
    <cacheField name="M-O-M Fruits" numFmtId="0">
      <sharedItems containsSemiMixedTypes="0" containsString="0" containsNumber="1" minValue="-100" maxValue="189.87043893731899"/>
    </cacheField>
    <cacheField name="Vegetables" numFmtId="0">
      <sharedItems containsString="0" containsBlank="1" containsNumber="1" minValue="140.9" maxValue="228.6"/>
    </cacheField>
    <cacheField name="M-O-M Vegetables" numFmtId="0">
      <sharedItems containsSemiMixedTypes="0" containsString="0" containsNumber="1" minValue="-100" maxValue="625.29836805384764"/>
    </cacheField>
    <cacheField name="Pulses and products" numFmtId="0">
      <sharedItems containsString="0" containsBlank="1" containsNumber="1" minValue="163.6" maxValue="176.9"/>
    </cacheField>
    <cacheField name="M-O-M Pulses and products" numFmtId="0">
      <sharedItems containsSemiMixedTypes="0" containsString="0" containsNumber="1" minValue="-100" maxValue="117.85380787056405"/>
    </cacheField>
    <cacheField name="Sugar and Confectionery" numFmtId="0">
      <sharedItems containsString="0" containsBlank="1" containsNumber="1" minValue="119.1" maxValue="124.2"/>
    </cacheField>
    <cacheField name="M-O-M Sugar and Confectionery" numFmtId="0">
      <sharedItems containsSemiMixedTypes="0" containsString="0" containsNumber="1" minValue="-100" maxValue="145.22501769505851"/>
    </cacheField>
    <cacheField name="Spices" numFmtId="0">
      <sharedItems containsString="0" containsBlank="1" containsNumber="1" minValue="183.5" maxValue="221"/>
    </cacheField>
    <cacheField name="M-O-M Spices " numFmtId="0">
      <sharedItems containsSemiMixedTypes="0" containsString="0" containsNumber="1" minValue="-99.999999999999986" maxValue="191.40717338651044"/>
    </cacheField>
    <cacheField name="Non-alcoholic beverages" numFmtId="0">
      <sharedItems containsString="0" containsBlank="1" containsNumber="1" minValue="159.1" maxValue="178.7"/>
    </cacheField>
    <cacheField name="M-O-M Non-alcoholic beverages" numFmtId="0">
      <sharedItems containsSemiMixedTypes="0" containsString="0" containsNumber="1" minValue="-100" maxValue="292.70556351087794"/>
    </cacheField>
    <cacheField name="Prepared meals, snacks, sweets etc." numFmtId="0">
      <sharedItems containsString="0" containsBlank="1" containsNumber="1" minValue="181.9" maxValue="197.7"/>
    </cacheField>
    <cacheField name="M-O-M Prepared meals, snacks, sweets etc." numFmtId="0">
      <sharedItems containsSemiMixedTypes="0" containsString="0" containsNumber="1" minValue="-100" maxValue="166.14554391992138"/>
    </cacheField>
    <cacheField name="Total Food Inflation(To calculate month with highest and lowest Food inflation)" numFmtId="0">
      <sharedItems containsSemiMixedTypes="0" containsString="0" containsNumber="1" minValue="-1200" maxValue="2588.69572305775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al" refreshedDate="45516.667141666665" createdVersion="8" refreshedVersion="8" minRefreshableVersion="3" recordCount="177" xr:uid="{248755AA-1B1C-41C9-9E20-494CF7138AC1}">
  <cacheSource type="worksheet">
    <worksheetSource ref="A1:N178" sheet="COVID 19 -Q4"/>
  </cacheSource>
  <cacheFields count="14">
    <cacheField name="Sector" numFmtId="0">
      <sharedItems/>
    </cacheField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 "/>
      </sharedItems>
    </cacheField>
    <cacheField name="Food category Total" numFmtId="0">
      <sharedItems containsSemiMixedTypes="0" containsString="0" containsNumber="1" minValue="1464.7000000000003" maxValue="2139"/>
    </cacheField>
    <cacheField name="M-O-M Food category" numFmtId="0">
      <sharedItems containsSemiMixedTypes="0" containsString="0" containsNumber="1" minValue="-100" maxValue="23.788912299780197"/>
    </cacheField>
    <cacheField name="Health" numFmtId="0">
      <sharedItems containsSemiMixedTypes="0" containsString="0" containsNumber="1" minValue="129" maxValue="183.5"/>
    </cacheField>
    <cacheField name="M-O-M Health" numFmtId="0">
      <sharedItems containsSemiMixedTypes="0" containsString="0" containsNumber="1" minValue="-100" maxValue="6.5409546258102358"/>
    </cacheField>
    <cacheField name="Household goods and services" numFmtId="0">
      <sharedItems containsSemiMixedTypes="0" containsString="0" containsNumber="1" minValue="129.5" maxValue="176.4"/>
    </cacheField>
    <cacheField name="M-O-M Housing goods and services" numFmtId="0">
      <sharedItems containsSemiMixedTypes="0" containsString="0" containsNumber="1" minValue="-100" maxValue="5.5833929849677943"/>
    </cacheField>
    <cacheField name="Transport and communication" numFmtId="0">
      <sharedItems containsSemiMixedTypes="0" containsString="0" containsNumber="1" minValue="116.3" maxValue="167.8"/>
    </cacheField>
    <cacheField name="M-O-M Transport and Communication" numFmtId="0">
      <sharedItems containsSemiMixedTypes="0" containsString="0" containsNumber="1" minValue="-100" maxValue="10.330029382002625"/>
    </cacheField>
    <cacheField name="Housing" numFmtId="0">
      <sharedItems containsSemiMixedTypes="0" containsString="0" containsNumber="1" minValue="140.4" maxValue="171.8"/>
    </cacheField>
    <cacheField name="M-O-M Housing" numFmtId="0">
      <sharedItems containsSemiMixedTypes="0" containsString="0" containsNumber="1" minValue="-4085.0000000000032" maxValue="15876.462423449881"/>
    </cacheField>
    <cacheField name="Pre Post COVID" numFmtId="0">
      <sharedItems count="3">
        <s v="Before"/>
        <s v="COVID"/>
        <s v="Af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113.9000000000005"/>
    <n v="2152"/>
    <n v="2127.8000000000002"/>
  </r>
  <r>
    <x v="1"/>
    <n v="376.70000000000005"/>
    <n v="387.29999999999995"/>
    <n v="380.1"/>
  </r>
  <r>
    <x v="2"/>
    <n v="569.90000000000009"/>
    <n v="528.70000000000005"/>
    <n v="553.20000000000005"/>
  </r>
  <r>
    <x v="3"/>
    <n v="0"/>
    <n v="175.6"/>
    <n v="175.6"/>
  </r>
  <r>
    <x v="4"/>
    <n v="182.5"/>
    <n v="183.4"/>
    <n v="182.8"/>
  </r>
  <r>
    <x v="5"/>
    <n v="187.8"/>
    <n v="182.2"/>
    <n v="185.7"/>
  </r>
  <r>
    <x v="6"/>
    <n v="180.3"/>
    <n v="174.8"/>
    <n v="177.1"/>
  </r>
  <r>
    <x v="7"/>
    <n v="169.7"/>
    <n v="160.4"/>
    <n v="164.8"/>
  </r>
  <r>
    <x v="8"/>
    <n v="718"/>
    <n v="696.5"/>
    <n v="707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Rural"/>
    <n v="2022"/>
    <x v="0"/>
    <n v="153.80000000000001"/>
    <n v="2.4057217165149414"/>
    <n v="217.2"/>
    <n v="2.854511970534078"/>
    <n v="169.6"/>
    <n v="1.8867924528301987"/>
    <n v="165.4"/>
    <n v="0.60459492140266013"/>
    <n v="208.1"/>
    <n v="-9.3704949543488709"/>
    <n v="165.8"/>
    <n v="5.0060313630880469"/>
    <n v="167.3"/>
    <n v="26.419605499103401"/>
    <n v="164.6"/>
    <n v="-0.60753341433778862"/>
    <n v="119.1"/>
    <n v="1.9311502938707068"/>
    <n v="188.9"/>
    <n v="-2.8586553732133435"/>
    <n v="174.2"/>
    <n v="-8.66819747416762"/>
    <n v="181.9"/>
    <n v="2.41891148982958"/>
    <n v="22.022438491105991"/>
  </r>
  <r>
    <s v="Urban"/>
    <n v="2022"/>
    <x v="0"/>
    <n v="157.5"/>
    <n v="-1.5873015873015928"/>
    <n v="223.4"/>
    <n v="-1.7905102954341987"/>
    <n v="172.8"/>
    <n v="-1.1574074074074072"/>
    <n v="166.4"/>
    <n v="-0.36057692307691963"/>
    <n v="188.6"/>
    <n v="6.5217391304347894"/>
    <n v="174.1"/>
    <n v="-2.5272831705916174"/>
    <n v="211.5"/>
    <n v="-13.806146572104012"/>
    <n v="163.6"/>
    <n v="0.42787286063570729"/>
    <n v="121.4"/>
    <n v="-1.2355848434925865"/>
    <n v="183.5"/>
    <n v="1.9618528610354193"/>
    <n v="159.1"/>
    <n v="5.5311125078567009"/>
    <n v="186.3"/>
    <n v="-1.2882447665056389"/>
    <n v="-9.3104782059513571"/>
  </r>
  <r>
    <s v="Rural+Urban"/>
    <n v="2022"/>
    <x v="0"/>
    <n v="155"/>
    <n v="0.1290322580645098"/>
    <n v="219.4"/>
    <n v="-3.9197812215132153"/>
    <n v="170.8"/>
    <n v="2.0491803278688523"/>
    <n v="165.8"/>
    <n v="0.30156815440289503"/>
    <n v="200.9"/>
    <n v="0.64708810353408808"/>
    <n v="169.7"/>
    <n v="-5.8927519151440379E-2"/>
    <n v="182.3"/>
    <n v="-7.5150850246845948"/>
    <n v="164.3"/>
    <n v="6.0864272671938113E-2"/>
    <n v="119.9"/>
    <n v="-0.5838198498748981"/>
    <n v="187.1"/>
    <n v="2.5120256547300999"/>
    <n v="167.9"/>
    <n v="3.9309112567004134"/>
    <n v="183.9"/>
    <n v="-0.4350190320826598"/>
    <n v="-2.88196261933401"/>
  </r>
  <r>
    <s v="Rural"/>
    <n v="2022"/>
    <x v="1"/>
    <n v="155.19999999999999"/>
    <n v="2.6417525773196004"/>
    <n v="210.8"/>
    <n v="2.988614800759005"/>
    <n v="174.3"/>
    <n v="1.3195639701663699"/>
    <n v="166.3"/>
    <n v="0.48105832832229883"/>
    <n v="202.2"/>
    <n v="-8.6053412462907914"/>
    <n v="169.6"/>
    <n v="5.8372641509433993"/>
    <n v="168.6"/>
    <n v="23.665480427046269"/>
    <n v="164.4"/>
    <n v="-0.24330900243309347"/>
    <n v="119.2"/>
    <n v="1.9295302013422795"/>
    <n v="191.8"/>
    <n v="-2.8675703858185608"/>
    <n v="174.5"/>
    <n v="-8.4240687679083024"/>
    <n v="183.1"/>
    <n v="2.5122883670125584"/>
    <n v="21.235263420461031"/>
  </r>
  <r>
    <s v="Urban"/>
    <n v="2022"/>
    <x v="1"/>
    <n v="159.30000000000001"/>
    <n v="-1.7576898932831209"/>
    <n v="217.1"/>
    <n v="-1.8885306310455987"/>
    <n v="176.6"/>
    <n v="-0.79275198187995788"/>
    <n v="167.1"/>
    <n v="-0.29922202274087373"/>
    <n v="184.8"/>
    <n v="5.9523809523809517"/>
    <n v="179.5"/>
    <n v="-2.952646239554324"/>
    <n v="208.5"/>
    <n v="-12.661870503597125"/>
    <n v="164"/>
    <n v="0.18292682926829962"/>
    <n v="121.5"/>
    <n v="-1.2345679012345678"/>
    <n v="186.3"/>
    <n v="1.986044015029516"/>
    <n v="159.80000000000001"/>
    <n v="5.3817271589486824"/>
    <n v="187.7"/>
    <n v="-1.3319126265316996"/>
    <n v="-9.4161128442398194"/>
  </r>
  <r>
    <s v="Rural+Urban"/>
    <n v="2022"/>
    <x v="1"/>
    <n v="156.5"/>
    <n v="1.9169329073482455"/>
    <n v="213"/>
    <n v="-4.1784037558685476"/>
    <n v="175.2"/>
    <n v="-3.9383561643835492"/>
    <n v="166.6"/>
    <n v="0.78031212484994683"/>
    <n v="195.8"/>
    <n v="1.1746680286006042"/>
    <n v="174.2"/>
    <n v="-2.8702640642939152"/>
    <n v="182.1"/>
    <n v="-4.9423393739703458"/>
    <n v="164.3"/>
    <n v="1.7041996348143535"/>
    <n v="120"/>
    <n v="0.16666666666666904"/>
    <n v="190"/>
    <n v="2.9473684210526288"/>
    <n v="168.4"/>
    <n v="3.8004750593824257"/>
    <n v="185.2"/>
    <n v="-0.64794816414686218"/>
    <n v="-4.0866886799483471"/>
  </r>
  <r>
    <s v="Rural"/>
    <n v="2022"/>
    <x v="2"/>
    <n v="159.5"/>
    <n v="1.6300940438871425"/>
    <n v="204.1"/>
    <n v="3.3317001469867771"/>
    <n v="168.3"/>
    <n v="1.3666072489601799"/>
    <n v="167.9"/>
    <n v="0.29779630732578916"/>
    <n v="198.1"/>
    <n v="-7.8748107016658233"/>
    <n v="169.2"/>
    <n v="4.6690307328605236"/>
    <n v="173.1"/>
    <n v="23.108030040439054"/>
    <n v="167.1"/>
    <n v="0.11968880909635969"/>
    <n v="120.2"/>
    <n v="1.6638935108153079"/>
    <n v="195.6"/>
    <n v="-3.0163599182004122"/>
    <n v="174.8"/>
    <n v="-8.1807780320366188"/>
    <n v="184"/>
    <n v="2.6630434782608727"/>
    <n v="19.777935666729157"/>
  </r>
  <r>
    <s v="Urban"/>
    <n v="2022"/>
    <x v="2"/>
    <n v="162.1"/>
    <n v="-1.1104256631708664"/>
    <n v="210.9"/>
    <n v="-2.0862968231389312"/>
    <n v="170.6"/>
    <n v="-0.82063305978898338"/>
    <n v="168.4"/>
    <n v="-0.1781472684085578"/>
    <n v="182.5"/>
    <n v="5.4246575342465784"/>
    <n v="177.1"/>
    <n v="-2.3715415019762784"/>
    <n v="213.1"/>
    <n v="-12.388549976536842"/>
    <n v="167.3"/>
    <n v="-5.9772863120157047E-2"/>
    <n v="122.2"/>
    <n v="-1.0638297872340403"/>
    <n v="189.7"/>
    <n v="2.0558777016341625"/>
    <n v="160.5"/>
    <n v="5.1713395638629356"/>
    <n v="188.9"/>
    <n v="-1.3763896241397535"/>
    <n v="-8.8037117677707322"/>
  </r>
  <r>
    <s v="Rural+Urban"/>
    <n v="2022"/>
    <x v="2"/>
    <n v="160.30000000000001"/>
    <n v="1.6219588271989993"/>
    <n v="206.5"/>
    <n v="9.6852300242125253E-2"/>
    <n v="169.2"/>
    <n v="-0.11820330969266468"/>
    <n v="168.1"/>
    <n v="0.83283759666865298"/>
    <n v="192.4"/>
    <n v="0.88357588357587757"/>
    <n v="172.9"/>
    <n v="-5.0896471949103592"/>
    <n v="186.7"/>
    <n v="-5.2490626673808158"/>
    <n v="167.2"/>
    <n v="1.0765550239234518"/>
    <n v="120.9"/>
    <n v="-8.2712985938799444E-2"/>
    <n v="193.6"/>
    <n v="2.8409090909090908"/>
    <n v="168.8"/>
    <n v="3.9099526066350672"/>
    <n v="186.3"/>
    <n v="-0.80515297906602246"/>
    <n v="-8.2137807835397036E-2"/>
  </r>
  <r>
    <s v="Rural"/>
    <n v="2022"/>
    <x v="3"/>
    <n v="162.9"/>
    <n v="1.2277470841006721"/>
    <n v="206.7"/>
    <n v="3.3865505563618776"/>
    <n v="169"/>
    <n v="1.1242603550295891"/>
    <n v="169.5"/>
    <n v="0.35398230088495236"/>
    <n v="194.1"/>
    <n v="-7.6249356002060713"/>
    <n v="164.1"/>
    <n v="2.0719073735527154"/>
    <n v="176.9"/>
    <n v="24.816280384397967"/>
    <n v="169"/>
    <n v="0.11834319526626547"/>
    <n v="120.8"/>
    <n v="1.9039735099337725"/>
    <n v="199.1"/>
    <n v="-2.7624309392265194"/>
    <n v="175.4"/>
    <n v="-8.1527936145952182"/>
    <n v="184.8"/>
    <n v="3.0303030303030272"/>
    <n v="19.493187635803032"/>
  </r>
  <r>
    <s v="Urban"/>
    <n v="2022"/>
    <x v="3"/>
    <n v="164.9"/>
    <n v="-0.84899939357186982"/>
    <n v="213.7"/>
    <n v="-2.1057557323350493"/>
    <n v="170.9"/>
    <n v="-0.70216500877707255"/>
    <n v="170.1"/>
    <n v="-0.23515579071134962"/>
    <n v="179.3"/>
    <n v="5.2426101505855973"/>
    <n v="167.5"/>
    <n v="-1.0746268656716484"/>
    <n v="220.8"/>
    <n v="-13.134057971014492"/>
    <n v="169.2"/>
    <n v="-5.9101654846332341E-2"/>
    <n v="123.1"/>
    <n v="-1.2185215272136476"/>
    <n v="193.6"/>
    <n v="1.9111570247933973"/>
    <n v="161.1"/>
    <n v="5.1520794537554382"/>
    <n v="190.4"/>
    <n v="-1.5756302521008403"/>
    <n v="-8.648167567107869"/>
  </r>
  <r>
    <s v="Rural+Urban"/>
    <n v="2022"/>
    <x v="3"/>
    <n v="163.5"/>
    <n v="0.73394495412844041"/>
    <n v="209.2"/>
    <n v="-0.19120458891012296"/>
    <n v="169.7"/>
    <n v="0.35356511490867576"/>
    <n v="169.7"/>
    <n v="0.70713022981733475"/>
    <n v="188.7"/>
    <n v="1.5368309485956577"/>
    <n v="165.7"/>
    <n v="-2.1122510561255283"/>
    <n v="191.8"/>
    <n v="-3.6496350364963499"/>
    <n v="169.1"/>
    <n v="0.35481963335304223"/>
    <n v="121.6"/>
    <n v="-0.41118421052631582"/>
    <n v="197.3"/>
    <n v="2.1794221996958858"/>
    <n v="169.4"/>
    <n v="3.7780401416765086"/>
    <n v="187.4"/>
    <n v="-0.96051227321238597"/>
    <n v="2.3189660569048423"/>
  </r>
  <r>
    <s v="Rural"/>
    <n v="2022"/>
    <x v="4"/>
    <n v="164.7"/>
    <n v="1.0321797207043293"/>
    <n v="208.8"/>
    <n v="2.9214559386973153"/>
    <n v="170.3"/>
    <n v="0.93951849677040178"/>
    <n v="170.9"/>
    <n v="5.8513750731418554E-2"/>
    <n v="191.6"/>
    <n v="-7.2546972860125294"/>
    <n v="162.19999999999999"/>
    <n v="2.1578298397040694"/>
    <n v="184.8"/>
    <n v="23.70129870129869"/>
    <n v="169.7"/>
    <n v="0.11785503830289751"/>
    <n v="121.1"/>
    <n v="1.8992568125516198"/>
    <n v="201.6"/>
    <n v="-2.5793650793650738"/>
    <n v="175.8"/>
    <n v="-8.0773606370876099"/>
    <n v="185.6"/>
    <n v="3.178879310344831"/>
    <n v="18.095364606640363"/>
  </r>
  <r>
    <s v="Urban"/>
    <n v="2022"/>
    <x v="4"/>
    <n v="166.4"/>
    <n v="-0.72115384615385469"/>
    <n v="214.9"/>
    <n v="-1.8613308515588645"/>
    <n v="171.9"/>
    <n v="-0.58173356602675974"/>
    <n v="171"/>
    <n v="-0.76023391812866159"/>
    <n v="177.7"/>
    <n v="4.9521665728756394"/>
    <n v="165.7"/>
    <n v="-1.146650573325273"/>
    <n v="228.6"/>
    <n v="-12.642169728783903"/>
    <n v="169.9"/>
    <n v="-5.8858151854028436E-2"/>
    <n v="123.4"/>
    <n v="-1.2155591572123177"/>
    <n v="196.4"/>
    <n v="1.7820773930753564"/>
    <n v="161.6"/>
    <n v="5.1361386138613936"/>
    <n v="191.5"/>
    <n v="-1.6710182767623962"/>
    <n v="-8.7883254899936709"/>
  </r>
  <r>
    <s v="Rural+Urban"/>
    <n v="2022"/>
    <x v="4"/>
    <n v="165.2"/>
    <n v="1.0290556900726555"/>
    <n v="210.9"/>
    <n v="-1.7543859649122888"/>
    <n v="170.9"/>
    <n v="5.4417788180222253"/>
    <n v="169.7"/>
    <n v="0.70713022981733475"/>
    <n v="186.5"/>
    <n v="4.0214477211796247"/>
    <n v="163.80000000000001"/>
    <n v="-2.8693528693528796"/>
    <n v="199.7"/>
    <n v="-14.071106659989983"/>
    <n v="169.8"/>
    <n v="0.23557126030622921"/>
    <n v="121.9"/>
    <n v="-0.3281378178835157"/>
    <n v="199.9"/>
    <n v="2.4512256128064061"/>
    <n v="169.9"/>
    <n v="3.8257798705120658"/>
    <n v="188.3"/>
    <n v="-0.74349442379182462"/>
    <n v="-2.0544885332139513"/>
  </r>
  <r>
    <s v="Rural"/>
    <n v="2022"/>
    <x v="5"/>
    <n v="166.9"/>
    <n v="0.89874176153386109"/>
    <n v="207.2"/>
    <n v="2.9922779922780003"/>
    <n v="180.2"/>
    <n v="1.6648168701442843"/>
    <n v="170.9"/>
    <n v="0.70713022981734319"/>
    <n v="194"/>
    <n v="-7.2164948453608249"/>
    <n v="159.1"/>
    <n v="2.1998742928975488"/>
    <n v="171.6"/>
    <n v="19.75524475524476"/>
    <n v="170.2"/>
    <n v="0.47003525264395501"/>
    <n v="121.5"/>
    <n v="1.5637860082304573"/>
    <n v="204.8"/>
    <n v="-2.9296875"/>
    <n v="176.4"/>
    <n v="-8.1065759637188268"/>
    <n v="186.9"/>
    <n v="2.9427501337613697"/>
    <n v="14.94189898747193"/>
  </r>
  <r>
    <s v="Urban"/>
    <n v="2022"/>
    <x v="5"/>
    <n v="168.4"/>
    <n v="-0.59382422802850554"/>
    <n v="213.4"/>
    <n v="-1.8744142455482662"/>
    <n v="183.2"/>
    <n v="-0.9825327510916938"/>
    <n v="171"/>
    <n v="0.76023391812866159"/>
    <n v="180"/>
    <n v="4.9444444444444473"/>
    <n v="162.6"/>
    <n v="-1.1685116851168547"/>
    <n v="205.5"/>
    <n v="-10.900243309002436"/>
    <n v="171"/>
    <n v="-0.70175438596490569"/>
    <n v="123.4"/>
    <n v="-1.0534846029173512"/>
    <n v="198.8"/>
    <n v="2.0120724346076457"/>
    <n v="162.1"/>
    <n v="5.1202961135101859"/>
    <n v="192.4"/>
    <n v="-1.5072765072765102"/>
    <n v="-5.9449948042555825"/>
  </r>
  <r>
    <s v="Rural+Urban"/>
    <n v="2022"/>
    <x v="5"/>
    <n v="167.4"/>
    <n v="0.83632019115891243"/>
    <n v="209.4"/>
    <n v="-1.1938872970391596"/>
    <n v="181.4"/>
    <n v="4.2447629547960242"/>
    <n v="172.3"/>
    <n v="0.63842135809634026"/>
    <n v="188.9"/>
    <n v="2.6469031233456857"/>
    <n v="160.69999999999999"/>
    <n v="-2.4891101431238334"/>
    <n v="183.1"/>
    <n v="-17.968323320589846"/>
    <n v="169.8"/>
    <n v="0.41224970553591789"/>
    <n v="122.1"/>
    <n v="-0.73710073710073021"/>
    <n v="202.8"/>
    <n v="2.317554240631158"/>
    <n v="170.4"/>
    <n v="3.7558685446009425"/>
    <n v="189.5"/>
    <n v="-0.94986807387863392"/>
    <n v="-8.4862094535672217"/>
  </r>
  <r>
    <s v="Rural"/>
    <n v="2022"/>
    <x v="6"/>
    <n v="168.8"/>
    <n v="0.82938388625590775"/>
    <n v="206.9"/>
    <n v="2.8999516674722088"/>
    <n v="189.1"/>
    <n v="1.4806980433633059"/>
    <n v="173.4"/>
    <n v="0.28835063437139563"/>
    <n v="193.9"/>
    <n v="-7.632800412583812"/>
    <n v="156.69999999999999"/>
    <n v="1.786853860880671"/>
    <n v="150.19999999999999"/>
    <n v="18.97470039946738"/>
    <n v="170.5"/>
    <n v="0.46920821114370165"/>
    <n v="121.2"/>
    <n v="1.5676567656765608"/>
    <n v="207.5"/>
    <n v="-3.3734939759036142"/>
    <n v="176.8"/>
    <n v="-7.9185520361990953"/>
    <n v="187.7"/>
    <n v="2.9834842834310193"/>
    <n v="12.355441327375631"/>
  </r>
  <r>
    <s v="Urban"/>
    <n v="2022"/>
    <x v="6"/>
    <n v="170.2"/>
    <n v="-0.58754406580493468"/>
    <n v="212.9"/>
    <n v="-1.8318459370596551"/>
    <n v="191.9"/>
    <n v="-0.88587806149036841"/>
    <n v="173.9"/>
    <n v="-0.17251293847039181"/>
    <n v="179.1"/>
    <n v="5.2484645449469607"/>
    <n v="159.5"/>
    <n v="-0.94043887147335425"/>
    <n v="178.7"/>
    <n v="-10.520425293788463"/>
    <n v="171.3"/>
    <n v="-0.29188558085230587"/>
    <n v="123.1"/>
    <n v="-1.0560519902518255"/>
    <n v="200.5"/>
    <n v="2.3441396508728123"/>
    <n v="162.80000000000001"/>
    <n v="5.0368550368550293"/>
    <n v="193.3"/>
    <n v="-1.5519917227108122"/>
    <n v="-5.2091152292273097"/>
  </r>
  <r>
    <s v="Rural+Urban"/>
    <n v="2022"/>
    <x v="6"/>
    <n v="169.2"/>
    <n v="2.8368794326241176"/>
    <n v="209"/>
    <n v="-0.33492822966506636"/>
    <n v="190.2"/>
    <n v="1.41955835962146"/>
    <n v="173.6"/>
    <n v="0.4032258064516227"/>
    <n v="188.5"/>
    <n v="2.1750663129973447"/>
    <n v="158"/>
    <n v="-1.0759493670886005"/>
    <n v="159.9"/>
    <n v="-10.631644777986242"/>
    <n v="170.8"/>
    <n v="-5.8548009367694803E-2"/>
    <n v="121.8"/>
    <n v="-1.2315270935960592"/>
    <n v="205.2"/>
    <n v="2.5828460038986409"/>
    <n v="171"/>
    <n v="3.4502923976608222"/>
    <n v="190.3"/>
    <n v="-0.94587493431424663"/>
    <n v="-1.4106040987639017"/>
  </r>
  <r>
    <s v="Rural"/>
    <n v="2023"/>
    <x v="7"/>
    <n v="174"/>
    <n v="-0.4022988505747116"/>
    <n v="208.3"/>
    <n v="3.3125300048007569"/>
    <n v="192.9"/>
    <n v="2.1254536029030557"/>
    <n v="174.3"/>
    <n v="0.51635111876074424"/>
    <n v="192.6"/>
    <n v="-7.580477673935615"/>
    <n v="156.30000000000001"/>
    <n v="2.6871401151631402"/>
    <n v="142.9"/>
    <n v="22.673198040587828"/>
    <n v="170.7"/>
    <n v="0.29291154071470421"/>
    <n v="120.3"/>
    <n v="1.9950124688279347"/>
    <n v="210.5"/>
    <n v="-2.9453681710213724"/>
    <n v="176.9"/>
    <n v="-7.4618428490672786"/>
    <n v="188.5"/>
    <n v="3.0769230769230829"/>
    <n v="18.289532424082271"/>
  </r>
  <r>
    <s v="Urban"/>
    <n v="2023"/>
    <x v="7"/>
    <n v="173.3"/>
    <n v="0.28851702250431988"/>
    <n v="215.2"/>
    <n v="-2.0910780669144984"/>
    <n v="197"/>
    <n v="-1.2690355329949239"/>
    <n v="175.2"/>
    <n v="-0.34246575342465435"/>
    <n v="178"/>
    <n v="5.1685393258426906"/>
    <n v="160.5"/>
    <n v="-1.3707165109034196"/>
    <n v="175.3"/>
    <n v="-12.207644038790647"/>
    <n v="171.2"/>
    <n v="-0.17523364485980314"/>
    <n v="122.7"/>
    <n v="-1.3039934800326067"/>
    <n v="204.3"/>
    <n v="2.0068526676456164"/>
    <n v="163.69999999999999"/>
    <n v="4.7037263286499806"/>
    <n v="194.3"/>
    <n v="-1.5954709212558016"/>
    <n v="-8.1880026045337466"/>
  </r>
  <r>
    <s v="Rural+Urban"/>
    <n v="2023"/>
    <x v="7"/>
    <n v="173.8"/>
    <n v="0.23014959723819395"/>
    <n v="210.7"/>
    <n v="-2.6103464641670624"/>
    <n v="194.5"/>
    <n v="-10.591259640102825"/>
    <n v="174.6"/>
    <n v="1.3745704467353985"/>
    <n v="187.2"/>
    <n v="-2.0299145299145209"/>
    <n v="158.30000000000001"/>
    <n v="5.6222362602653044"/>
    <n v="153.9"/>
    <n v="-8.4470435347628321"/>
    <n v="170.9"/>
    <n v="-0.29256875365710938"/>
    <n v="121.1"/>
    <n v="-1.6515276630883569"/>
    <n v="208.4"/>
    <n v="1.7754318618042171"/>
    <n v="171.4"/>
    <n v="3.6172695449241474"/>
    <n v="191.2"/>
    <n v="-0.67991631799162289"/>
    <n v="-13.682919192717067"/>
  </r>
  <r>
    <s v="Rural"/>
    <n v="2023"/>
    <x v="8"/>
    <n v="174.2"/>
    <n v="0.28702640642939148"/>
    <n v="205.2"/>
    <n v="3.4113060428849904"/>
    <n v="173.9"/>
    <n v="1.8976423231742281"/>
    <n v="177"/>
    <n v="0.50847457627118964"/>
    <n v="183.4"/>
    <n v="-6.1068702290076429"/>
    <n v="167.2"/>
    <n v="2.9306220095693813"/>
    <n v="140.9"/>
    <n v="24.769339957416612"/>
    <n v="170.4"/>
    <n v="1.056338028169004"/>
    <n v="119.1"/>
    <n v="2.3509655751469452"/>
    <n v="212.1"/>
    <n v="-3.4417727487034337"/>
    <n v="177.6"/>
    <n v="-7.1509009009008944"/>
    <n v="189.9"/>
    <n v="3.5281727224855128"/>
    <n v="24.040343762935287"/>
  </r>
  <r>
    <s v="Urban"/>
    <n v="2023"/>
    <x v="8"/>
    <n v="174.7"/>
    <n v="-0.17172295363478973"/>
    <n v="212.2"/>
    <n v="-2.1206409048067862"/>
    <n v="177.2"/>
    <n v="-1.1286681715575622"/>
    <n v="177.9"/>
    <n v="-0.33726812816188551"/>
    <n v="172.2"/>
    <n v="4.1231126596980392"/>
    <n v="172.1"/>
    <n v="-1.5107495642068534"/>
    <n v="175.8"/>
    <n v="-13.139931740614347"/>
    <n v="172.2"/>
    <n v="-0.69686411149825123"/>
    <n v="121.9"/>
    <n v="-1.5586546349466821"/>
    <n v="204.8"/>
    <n v="2.3925781249999889"/>
    <n v="164.9"/>
    <n v="4.4875682231655585"/>
    <n v="196.6"/>
    <n v="-1.8311291963377387"/>
    <n v="-11.492370397901308"/>
  </r>
  <r>
    <s v="Rural+Urban"/>
    <n v="2023"/>
    <x v="8"/>
    <n v="174.4"/>
    <n v="-5.7339449541282672E-2"/>
    <n v="207.7"/>
    <n v="-1.203659123736158"/>
    <n v="175.2"/>
    <n v="-0.74200913242008171"/>
    <n v="177.3"/>
    <n v="-0.16920473773266292"/>
    <n v="179.3"/>
    <n v="2.2308979364194088"/>
    <n v="169.5"/>
    <n v="-1.3569321533923371"/>
    <n v="152.69999999999999"/>
    <n v="-7.727570399476086"/>
    <n v="171"/>
    <n v="-0.29239766081871343"/>
    <n v="120"/>
    <n v="-0.75000000000000477"/>
    <n v="209.7"/>
    <n v="1.1444921316165979"/>
    <n v="172.3"/>
    <n v="3.0760301799187362"/>
    <n v="193"/>
    <n v="-1.6062176165803079"/>
    <n v="-7.4539100257428919"/>
  </r>
  <r>
    <s v="Rural"/>
    <n v="2023"/>
    <x v="9"/>
    <n v="174.3"/>
    <n v="0.22948938611588865"/>
    <n v="205.2"/>
    <n v="3.4113060428849904"/>
    <n v="173.9"/>
    <n v="1.8976423231742281"/>
    <n v="177"/>
    <n v="0.50847457627118964"/>
    <n v="183.3"/>
    <n v="-6.0556464811784076"/>
    <n v="167.2"/>
    <n v="2.9306220095693813"/>
    <n v="140.9"/>
    <n v="24.840312278211496"/>
    <n v="170.5"/>
    <n v="0.99706744868034525"/>
    <n v="119.1"/>
    <n v="2.3509655751469452"/>
    <n v="212.1"/>
    <n v="-3.4417727487034337"/>
    <n v="177.6"/>
    <n v="-7.1509009009008944"/>
    <n v="189.9"/>
    <n v="3.5281727224855128"/>
    <n v="24.045732231757242"/>
  </r>
  <r>
    <s v="Urban"/>
    <n v="2023"/>
    <x v="9"/>
    <n v="174.7"/>
    <n v="-0.17172295363478973"/>
    <n v="212.2"/>
    <n v="-2.1206409048067862"/>
    <n v="177.2"/>
    <n v="-1.1286681715575622"/>
    <n v="177.9"/>
    <n v="-0.33726812816188551"/>
    <n v="172.2"/>
    <n v="4.0650406504065044"/>
    <n v="172.1"/>
    <n v="-1.5107495642068534"/>
    <n v="175.9"/>
    <n v="-13.132461625923817"/>
    <n v="172.2"/>
    <n v="-0.6387921022067331"/>
    <n v="121.9"/>
    <n v="-1.5586546349466821"/>
    <n v="204.8"/>
    <n v="2.3925781249999889"/>
    <n v="164.9"/>
    <n v="4.4875682231655585"/>
    <n v="196.6"/>
    <n v="-1.8311291963377387"/>
    <n v="-11.484900283210795"/>
  </r>
  <r>
    <s v="Rural+Urban"/>
    <n v="2023"/>
    <x v="9"/>
    <n v="174.4"/>
    <n v="-0.6307339449541205"/>
    <n v="207.7"/>
    <n v="-0.38517091959556232"/>
    <n v="175.2"/>
    <n v="-4.1666666666666572"/>
    <n v="177.3"/>
    <n v="0.50761421319795663"/>
    <n v="179.2"/>
    <n v="-0.39062499999999367"/>
    <n v="169.5"/>
    <n v="2.4778761061946835"/>
    <n v="152.80000000000001"/>
    <n v="-6.5445026178010473"/>
    <n v="171.1"/>
    <n v="0.9935710111046272"/>
    <n v="120"/>
    <n v="0.33333333333333809"/>
    <n v="209.7"/>
    <n v="2.7658559847401105"/>
    <n v="172.3"/>
    <n v="3.4242600116076476"/>
    <n v="193"/>
    <n v="-1.2953367875647668"/>
    <n v="-2.9105252764037832"/>
  </r>
  <r>
    <s v="Rural"/>
    <n v="2023"/>
    <x v="10"/>
    <n v="173.3"/>
    <n v="0.86555106751298183"/>
    <n v="206.9"/>
    <n v="3.2866118898018284"/>
    <n v="167.9"/>
    <n v="2.6801667659321025"/>
    <n v="178.2"/>
    <n v="0.33670033670034949"/>
    <n v="178.5"/>
    <n v="-5.4901960784313788"/>
    <n v="173.7"/>
    <n v="3.1663788140472082"/>
    <n v="142.80000000000001"/>
    <n v="25.980392156862738"/>
    <n v="172.8"/>
    <n v="1.0995370370370237"/>
    <n v="120.4"/>
    <n v="2.2425249169435122"/>
    <n v="215.5"/>
    <n v="-3.5730858468677447"/>
    <n v="178.2"/>
    <n v="-7.1268237934904546"/>
    <n v="190.5"/>
    <n v="3.4120734908136483"/>
    <n v="26.879830756861814"/>
  </r>
  <r>
    <s v="Urban"/>
    <n v="2023"/>
    <x v="10"/>
    <n v="174.8"/>
    <n v="-0.57208237986270394"/>
    <n v="213.7"/>
    <n v="-2.0589611605053708"/>
    <n v="172.4"/>
    <n v="-1.6241299303944381"/>
    <n v="178.8"/>
    <n v="-0.22371364653244166"/>
    <n v="168.7"/>
    <n v="3.6751630112626068"/>
    <n v="179.2"/>
    <n v="-1.618303571428559"/>
    <n v="179.9"/>
    <n v="-13.618677042801556"/>
    <n v="174.7"/>
    <n v="-0.74413279908413454"/>
    <n v="123.1"/>
    <n v="-1.4622258326563748"/>
    <n v="207.8"/>
    <n v="2.4542829643888324"/>
    <n v="165.5"/>
    <n v="4.4712990936555927"/>
    <n v="197"/>
    <n v="-1.7766497461928934"/>
    <n v="-13.098131040151438"/>
  </r>
  <r>
    <s v="Rural+Urban"/>
    <n v="2023"/>
    <x v="10"/>
    <n v="173.8"/>
    <n v="-0.34522439585732423"/>
    <n v="209.3"/>
    <n v="1.0511227902532196"/>
    <n v="169.6"/>
    <n v="0.82547169811321097"/>
    <n v="178.4"/>
    <n v="0.67264573991030752"/>
    <n v="174.9"/>
    <n v="-0.91480846197827004"/>
    <n v="176.3"/>
    <n v="-4.1406693136698873"/>
    <n v="155.4"/>
    <n v="-4.3114543114543222"/>
    <n v="173.4"/>
    <n v="0.86505190311418689"/>
    <n v="121.3"/>
    <n v="0.494641384995885"/>
    <n v="212.9"/>
    <n v="3.8046031000469678"/>
    <n v="172.9"/>
    <n v="3.3545401966454498"/>
    <n v="193.5"/>
    <n v="-1.2403100775193827"/>
    <n v="0.11561025260004087"/>
  </r>
  <r>
    <s v="Rural"/>
    <n v="2023"/>
    <x v="11"/>
    <n v="173.2"/>
    <n v="0.86605080831407832"/>
    <n v="211.5"/>
    <n v="3.7352245862884184"/>
    <n v="171"/>
    <n v="3.3333333333333268"/>
    <n v="179.6"/>
    <n v="-0.11135857461023865"/>
    <n v="173.3"/>
    <n v="-5.1356030005770368"/>
    <n v="169"/>
    <n v="4.0236686390532617"/>
    <n v="148.69999999999999"/>
    <n v="24.411566913248159"/>
    <n v="174.9"/>
    <n v="1.1435105774728416"/>
    <n v="121.9"/>
    <n v="1.8867924528301863"/>
    <n v="221"/>
    <n v="-4.1176470588235272"/>
    <n v="178.7"/>
    <n v="-7.1628427532176744"/>
    <n v="191.1"/>
    <n v="3.4536891679748791"/>
    <n v="26.326385091286667"/>
  </r>
  <r>
    <s v="Urban"/>
    <n v="2023"/>
    <x v="11"/>
    <n v="174.7"/>
    <n v="-0.57240984544933982"/>
    <n v="219.4"/>
    <n v="-2.3245214220601613"/>
    <n v="176.7"/>
    <n v="-1.9807583474816073"/>
    <n v="179.4"/>
    <n v="5.5741360089183005E-2"/>
    <n v="164.4"/>
    <n v="3.4063260340632566"/>
    <n v="175.8"/>
    <n v="-2.0477815699658835"/>
    <n v="185"/>
    <n v="-12.972972972972972"/>
    <n v="176.9"/>
    <n v="-0.73487846240814658"/>
    <n v="124.2"/>
    <n v="-1.2077294685990339"/>
    <n v="211.9"/>
    <n v="2.8787163756488878"/>
    <n v="165.9"/>
    <n v="4.5207956600361658"/>
    <n v="197.7"/>
    <n v="-1.7703591299949419"/>
    <n v="-12.749831789094593"/>
  </r>
  <r>
    <s v="Rural+Urban"/>
    <n v="2023"/>
    <x v="11"/>
    <n v="173.7"/>
    <n v="-100"/>
    <n v="214.3"/>
    <n v="-100"/>
    <n v="173.2"/>
    <n v="-100"/>
    <n v="179.5"/>
    <n v="-100"/>
    <n v="170"/>
    <n v="-100"/>
    <n v="172.2"/>
    <n v="-100"/>
    <n v="161"/>
    <n v="-100"/>
    <n v="175.6"/>
    <n v="-100"/>
    <n v="122.7"/>
    <n v="-100"/>
    <n v="218"/>
    <n v="-99.999999999999986"/>
    <n v="173.4"/>
    <n v="-100"/>
    <n v="194.2"/>
    <n v="-100"/>
    <n v="-1200"/>
  </r>
  <r>
    <s v="Total Absolute Change"/>
    <m/>
    <x v="12"/>
    <m/>
    <n v="132.66700278985098"/>
    <m/>
    <n v="179.60631127086697"/>
    <m/>
    <n v="168.66166996282584"/>
    <m/>
    <n v="115.92998608918549"/>
    <m/>
    <n v="263.32483957092796"/>
    <m/>
    <n v="189.87043893731899"/>
    <m/>
    <n v="625.29836805384764"/>
    <m/>
    <n v="117.85380787056405"/>
    <m/>
    <n v="145.22501769505851"/>
    <m/>
    <n v="191.40717338651044"/>
    <m/>
    <n v="292.70556351087794"/>
    <m/>
    <n v="166.14554391992138"/>
    <n v="2588.69572305775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Rural"/>
    <x v="0"/>
    <x v="0"/>
    <n v="1660.3"/>
    <n v="-2.9633198819490336"/>
    <n v="136"/>
    <n v="-5.1470588235294157"/>
    <n v="139.80000000000001"/>
    <n v="-7.3676680972818431"/>
    <n v="122.7"/>
    <n v="-5.2159739201304012"/>
    <n v="140.4"/>
    <n v="-149.45453568357703"/>
    <x v="0"/>
  </r>
  <r>
    <s v="Urban"/>
    <x v="0"/>
    <x v="0"/>
    <n v="1611.1000000000001"/>
    <n v="1.8372540500279255"/>
    <n v="129"/>
    <n v="3.3333333333333437"/>
    <n v="129.5"/>
    <n v="4.1698841698841749"/>
    <n v="116.3"/>
    <n v="2.5795356835769612"/>
    <n v="140.4"/>
    <n v="29.980441464095886"/>
    <x v="0"/>
  </r>
  <r>
    <s v="Rural+Urban"/>
    <x v="0"/>
    <x v="0"/>
    <n v="1640.7"/>
    <n v="0.12799414883890581"/>
    <n v="133.30000000000001"/>
    <n v="2.175543885971476"/>
    <n v="134.9"/>
    <n v="3.706449221645669"/>
    <n v="119.3"/>
    <n v="3.3528918692372178"/>
    <n v="140.4"/>
    <n v="-242.7149229521489"/>
    <x v="0"/>
  </r>
  <r>
    <s v="Rural"/>
    <x v="0"/>
    <x v="1"/>
    <n v="1642.8"/>
    <n v="-3.074019965911845"/>
    <n v="136.19999999999999"/>
    <n v="-4.6989720998531386"/>
    <n v="139.9"/>
    <n v="-7.1479628305932792"/>
    <n v="123.3"/>
    <n v="-4.7850770478507609"/>
    <n v="141.30000000000001"/>
    <n v="-149.84263563653178"/>
    <x v="0"/>
  </r>
  <r>
    <s v="Urban"/>
    <x v="0"/>
    <x v="1"/>
    <n v="1592.3000000000002"/>
    <n v="1.9154681906675686"/>
    <n v="129.80000000000001"/>
    <n v="3.0816640986132571"/>
    <n v="129.9"/>
    <n v="4.0800615858352485"/>
    <n v="117.4"/>
    <n v="2.3850085178875657"/>
    <n v="141.30000000000001"/>
    <n v="53.482291419063202"/>
    <x v="0"/>
  </r>
  <r>
    <s v="Rural+Urban"/>
    <x v="0"/>
    <x v="1"/>
    <n v="1622.7999999999997"/>
    <n v="1.2694108947498339"/>
    <n v="133.80000000000001"/>
    <n v="2.1674140508221029"/>
    <n v="135.19999999999999"/>
    <n v="3.4763313609467605"/>
    <n v="120.2"/>
    <n v="3.660565723793674"/>
    <n v="141.30000000000001"/>
    <n v="-249.08799066102429"/>
    <x v="0"/>
  </r>
  <r>
    <s v="Rural"/>
    <x v="0"/>
    <x v="2"/>
    <n v="1643.3999999999999"/>
    <n v="-3.8152610441766988"/>
    <n v="136.69999999999999"/>
    <n v="-4.5354791514264692"/>
    <n v="139.9"/>
    <n v="-6.5046461758398788"/>
    <n v="124.6"/>
    <n v="-5.4574638844301688"/>
    <n v="142"/>
    <n v="-149.77529212024382"/>
    <x v="0"/>
  </r>
  <r>
    <s v="Urban"/>
    <x v="0"/>
    <x v="2"/>
    <n v="1580.7"/>
    <n v="2.4103245397608664"/>
    <n v="130.5"/>
    <n v="2.911877394636031"/>
    <n v="130.80000000000001"/>
    <n v="3.6697247706421798"/>
    <n v="117.8"/>
    <n v="2.7164685908319219"/>
    <n v="142"/>
    <n v="30.821280991735513"/>
    <x v="0"/>
  </r>
  <r>
    <s v="Rural+Urban"/>
    <x v="0"/>
    <x v="2"/>
    <n v="1618.8"/>
    <n v="1.396095873486547"/>
    <n v="134.30000000000001"/>
    <n v="2.4571854058078824"/>
    <n v="135.6"/>
    <n v="3.9085545722713944"/>
    <n v="121"/>
    <n v="3.5537190082644665"/>
    <n v="142"/>
    <n v="-243.72946788173459"/>
    <x v="0"/>
  </r>
  <r>
    <s v="Rural"/>
    <x v="0"/>
    <x v="3"/>
    <n v="1641.4"/>
    <n v="-3.4787376629706324"/>
    <n v="137.6"/>
    <n v="-4.5784883720930143"/>
    <n v="140.9"/>
    <n v="-6.4584811923349861"/>
    <n v="125.3"/>
    <n v="-5.1077414205905729"/>
    <n v="142.9"/>
    <n v="-149.39812867956277"/>
    <x v="0"/>
  </r>
  <r>
    <s v="Urban"/>
    <x v="0"/>
    <x v="3"/>
    <n v="1584.3000000000002"/>
    <n v="2.2281133623682337"/>
    <n v="131.30000000000001"/>
    <n v="2.9702970297029507"/>
    <n v="131.80000000000001"/>
    <n v="3.6418816388467334"/>
    <n v="118.9"/>
    <n v="2.5231286795626584"/>
    <n v="142.9"/>
    <n v="46.308449548810302"/>
    <x v="0"/>
  </r>
  <r>
    <s v="Rural+Urban"/>
    <x v="0"/>
    <x v="3"/>
    <n v="1619.6000000000001"/>
    <n v="1.4633242775994093"/>
    <n v="135.19999999999999"/>
    <n v="2.3668639053254559"/>
    <n v="136.6"/>
    <n v="3.8067349926793614"/>
    <n v="121.9"/>
    <n v="3.6915504511894959"/>
    <n v="142.9"/>
    <n v="-241.44514767932517"/>
    <x v="0"/>
  </r>
  <r>
    <s v="Rural"/>
    <x v="0"/>
    <x v="4"/>
    <n v="1643.3000000000002"/>
    <n v="-3.4564595630743211"/>
    <n v="138.4"/>
    <n v="-4.6242774566474072"/>
    <n v="141.80000000000001"/>
    <n v="-6.5585331452750477"/>
    <n v="126.4"/>
    <n v="-5.2215189873417778"/>
    <n v="143.19999999999999"/>
    <n v="-149.55734304649181"/>
    <x v="0"/>
  </r>
  <r>
    <s v="Urban"/>
    <x v="0"/>
    <x v="4"/>
    <n v="1586.4999999999998"/>
    <n v="2.2187204538292038"/>
    <n v="132"/>
    <n v="3.0303030303030276"/>
    <n v="132.5"/>
    <n v="3.6981132075471823"/>
    <n v="119.8"/>
    <n v="2.5876460767946696"/>
    <n v="143.19999999999999"/>
    <n v="41.499776897031062"/>
    <x v="0"/>
  </r>
  <r>
    <s v="Rural+Urban"/>
    <x v="0"/>
    <x v="4"/>
    <n v="1621.7"/>
    <n v="1.7635814268976757"/>
    <n v="136"/>
    <n v="1.7647058823529349"/>
    <n v="137.4"/>
    <n v="3.4934497816593746"/>
    <n v="122.9"/>
    <n v="3.6615134255492343"/>
    <n v="143.19999999999999"/>
    <n v="-250.06105006104983"/>
    <x v="0"/>
  </r>
  <r>
    <s v="Rural"/>
    <x v="0"/>
    <x v="5"/>
    <n v="1650.2999999999997"/>
    <n v="-2.5086347936738584"/>
    <n v="138.4"/>
    <n v="-4.1907514450867156"/>
    <n v="142.19999999999999"/>
    <n v="-6.3994374120956321"/>
    <n v="127.4"/>
    <n v="-5.4945054945054972"/>
    <n v="142.5"/>
    <n v="-149.8837209302325"/>
    <x v="0"/>
  </r>
  <r>
    <s v="Urban"/>
    <x v="0"/>
    <x v="5"/>
    <n v="1608.9"/>
    <n v="1.6035800857728821"/>
    <n v="132.6"/>
    <n v="2.7149321266968229"/>
    <n v="133.1"/>
    <n v="3.6063110443275814"/>
    <n v="120.4"/>
    <n v="2.7408637873754138"/>
    <n v="142.5"/>
    <n v="12.079566889591087"/>
    <x v="0"/>
  </r>
  <r>
    <s v="Rural+Urban"/>
    <x v="0"/>
    <x v="5"/>
    <n v="1634.7"/>
    <n v="2.0676576741909924"/>
    <n v="136.19999999999999"/>
    <n v="2.0558002936857722"/>
    <n v="137.9"/>
    <n v="3.7708484408991882"/>
    <n v="123.7"/>
    <n v="3.0719482619240068"/>
    <n v="142.5"/>
    <n v="-288.93292053663606"/>
    <x v="0"/>
  </r>
  <r>
    <s v="Rural"/>
    <x v="0"/>
    <x v="6"/>
    <n v="1668.5000000000002"/>
    <n v="-2.2595145340126077"/>
    <n v="139"/>
    <n v="-3.8848920863309377"/>
    <n v="143.1"/>
    <n v="-6.6387141858839982"/>
    <n v="127.5"/>
    <n v="-5.803921568627457"/>
    <n v="143.6"/>
    <n v="-150.211535432185"/>
    <x v="0"/>
  </r>
  <r>
    <s v="Urban"/>
    <x v="0"/>
    <x v="6"/>
    <n v="1630.8"/>
    <n v="1.4164827078734232"/>
    <n v="133.6"/>
    <n v="2.5449101796407136"/>
    <n v="133.6"/>
    <n v="3.7425149700598848"/>
    <n v="120.1"/>
    <n v="2.9142381348876034"/>
    <n v="143.6"/>
    <n v="30.483125288950919"/>
    <x v="0"/>
  </r>
  <r>
    <s v="Rural+Urban"/>
    <x v="0"/>
    <x v="6"/>
    <n v="1653.8999999999999"/>
    <n v="1.3422818791946289"/>
    <n v="137"/>
    <n v="1.7518248175182549"/>
    <n v="138.6"/>
    <n v="3.7518037518037728"/>
    <n v="123.6"/>
    <n v="3.8025889967637783"/>
    <n v="143.6"/>
    <n v="-255.77851113580118"/>
    <x v="0"/>
  </r>
  <r>
    <s v="Rural"/>
    <x v="0"/>
    <x v="7"/>
    <n v="1676.1"/>
    <n v="-2.8995883300519054"/>
    <n v="139.4"/>
    <n v="-3.2281205164992777"/>
    <n v="143.80000000000001"/>
    <n v="-6.5368567454798354"/>
    <n v="128.30000000000001"/>
    <n v="-5.923616523772413"/>
    <n v="144.6"/>
    <n v="-150.3510225439322"/>
    <x v="0"/>
  </r>
  <r>
    <s v="Urban"/>
    <x v="0"/>
    <x v="7"/>
    <n v="1627.5"/>
    <n v="1.8125960061444069"/>
    <n v="134.9"/>
    <n v="2.0756115641215489"/>
    <n v="134.4"/>
    <n v="3.7202380952380931"/>
    <n v="120.7"/>
    <n v="2.9826014913007404"/>
    <n v="144.6"/>
    <n v="51.050326271565716"/>
    <x v="0"/>
  </r>
  <r>
    <s v="Rural+Urban"/>
    <x v="0"/>
    <x v="7"/>
    <n v="1657.0000000000002"/>
    <n v="9.0525045262523918E-2"/>
    <n v="137.69999999999999"/>
    <n v="1.6702977487291326"/>
    <n v="139.4"/>
    <n v="3.2998565279770409"/>
    <n v="124.3"/>
    <n v="4.5052292839903529"/>
    <n v="144.6"/>
    <n v="-226.44616738150205"/>
    <x v="0"/>
  </r>
  <r>
    <s v="Rural"/>
    <x v="0"/>
    <x v="8"/>
    <n v="1658.5000000000002"/>
    <n v="-2.9544769369912682"/>
    <n v="140"/>
    <n v="-3.0714285714285805"/>
    <n v="144"/>
    <n v="-6.3194444444444446"/>
    <n v="129.9"/>
    <n v="-5.6966897613548895"/>
    <n v="145.30000000000001"/>
    <n v="-150.15444015443998"/>
    <x v="0"/>
  </r>
  <r>
    <s v="Urban"/>
    <x v="0"/>
    <x v="8"/>
    <n v="1609.5"/>
    <n v="1.8390804597701038"/>
    <n v="135.69999999999999"/>
    <n v="1.9896831245394431"/>
    <n v="134.9"/>
    <n v="3.5581912527798298"/>
    <n v="122.5"/>
    <n v="2.857142857142847"/>
    <n v="145.30000000000001"/>
    <n v="33.333333333334103"/>
    <x v="0"/>
  </r>
  <r>
    <s v="Rural+Urban"/>
    <x v="0"/>
    <x v="8"/>
    <n v="1639.1"/>
    <n v="0.17692636202795153"/>
    <n v="138.4"/>
    <n v="4.6242774566473965"/>
    <n v="139.69999999999999"/>
    <n v="5.5833929849677943"/>
    <n v="126"/>
    <n v="3.8095238095238182"/>
    <n v="145.30000000000001"/>
    <n v="-250.51605504587161"/>
    <x v="0"/>
  </r>
  <r>
    <s v="Rural"/>
    <x v="0"/>
    <x v="9"/>
    <n v="1642"/>
    <n v="-1.6626065773447163"/>
    <n v="144.80000000000001"/>
    <n v="-5.9392265193370264"/>
    <n v="147.5"/>
    <n v="-8.4067796610169498"/>
    <n v="130.80000000000001"/>
    <n v="-5.7339449541284555"/>
    <n v="146.30000000000001"/>
    <n v="-131.11759935117612"/>
    <x v="0"/>
  </r>
  <r>
    <s v="Urban"/>
    <x v="0"/>
    <x v="9"/>
    <n v="1614.6999999999998"/>
    <n v="1.3500959930637491"/>
    <n v="136.19999999999999"/>
    <n v="4.3318649045521296"/>
    <n v="135.1"/>
    <n v="5.2553663952627616"/>
    <n v="123.3"/>
    <n v="1.7842660178426728"/>
    <n v="146.60000000000002"/>
    <n v="114.35711698659836"/>
    <x v="0"/>
  </r>
  <r>
    <s v="Rural+Urban"/>
    <x v="0"/>
    <x v="9"/>
    <n v="1636.5"/>
    <n v="0.6721662083714941"/>
    <n v="142.1"/>
    <n v="2.3223082336382816"/>
    <n v="142.19999999999999"/>
    <n v="4.0787623066104173"/>
    <n v="125.5"/>
    <n v="3.8247011952191379"/>
    <n v="146.9"/>
    <n v="-282.5994499872084"/>
    <x v="0"/>
  </r>
  <r>
    <s v="Rural"/>
    <x v="0"/>
    <x v="10"/>
    <n v="1647.4999999999995"/>
    <n v="-1.7663125948406466"/>
    <n v="145.4"/>
    <n v="-5.9147180192572151"/>
    <n v="148"/>
    <n v="-8.2432432432432368"/>
    <n v="130.30000000000001"/>
    <n v="-6.9838833461243315"/>
    <n v="146.9"/>
    <n v="-150.80060203822572"/>
    <x v="0"/>
  </r>
  <r>
    <s v="Urban"/>
    <x v="0"/>
    <x v="10"/>
    <n v="1618.3999999999999"/>
    <n v="1.0874938210578611"/>
    <n v="136.80000000000001"/>
    <n v="3.8742690058479301"/>
    <n v="135.80000000000001"/>
    <n v="4.7128129602356239"/>
    <n v="121.2"/>
    <n v="3.5478547854785436"/>
    <n v="146.9"/>
    <n v="-23.639395904752803"/>
    <x v="0"/>
  </r>
  <r>
    <s v="Rural+Urban"/>
    <x v="0"/>
    <x v="10"/>
    <n v="1636.0000000000002"/>
    <n v="-8.5574572127145032E-2"/>
    <n v="142.1"/>
    <n v="5.2779732582688199"/>
    <n v="142.19999999999999"/>
    <n v="5.133614627285521"/>
    <n v="125.5"/>
    <n v="2.7091633466135523"/>
    <n v="146.9"/>
    <n v="-389.22329210970594"/>
    <x v="0"/>
  </r>
  <r>
    <s v="Rural"/>
    <x v="0"/>
    <x v="11"/>
    <n v="1634.6000000000001"/>
    <n v="-1.5661323871283606"/>
    <n v="149.6"/>
    <n v="-8.2219251336898331"/>
    <n v="149.5"/>
    <n v="-8.8963210702341264"/>
    <n v="128.9"/>
    <n v="-7.8355314197052"/>
    <n v="146.5"/>
    <n v="-151.56515651565158"/>
    <x v="0"/>
  </r>
  <r>
    <s v="Urban"/>
    <x v="0"/>
    <x v="11"/>
    <n v="1609"/>
    <n v="0.96954630205094983"/>
    <n v="137.30000000000001"/>
    <n v="5.5353241077931381"/>
    <n v="136.19999999999999"/>
    <n v="5.1395007342143861"/>
    <n v="118.8"/>
    <n v="4.0404040404040442"/>
    <n v="146.5"/>
    <n v="0.12135922330065441"/>
    <x v="0"/>
  </r>
  <r>
    <s v="Rural+Urban"/>
    <x v="0"/>
    <x v="11"/>
    <n v="1624.5999999999997"/>
    <n v="-0.14772867167300863"/>
    <n v="144.9"/>
    <n v="3.2436162870945306"/>
    <n v="143.19999999999999"/>
    <n v="4.8184357541899425"/>
    <n v="123.6"/>
    <n v="4.0453074433656866"/>
    <n v="146.5"/>
    <n v="-292.22395023328193"/>
    <x v="0"/>
  </r>
  <r>
    <s v="Rural"/>
    <x v="1"/>
    <x v="0"/>
    <n v="1622.2"/>
    <n v="-0.93699913697447013"/>
    <n v="149.6"/>
    <n v="-7.887700534759345"/>
    <n v="150.1"/>
    <n v="-9.193870752831435"/>
    <n v="128.6"/>
    <n v="-7.7760497667185069"/>
    <n v="147.69999999999999"/>
    <n v="-150.9629005059023"/>
    <x v="0"/>
  </r>
  <r>
    <s v="Urban"/>
    <x v="1"/>
    <x v="0"/>
    <n v="1607.0000000000002"/>
    <n v="0.56004978220283164"/>
    <n v="137.80000000000001"/>
    <n v="5.2975326560232183"/>
    <n v="136.30000000000001"/>
    <n v="5.3558327219368929"/>
    <n v="118.6"/>
    <n v="3.9629005059022004"/>
    <n v="147.69999999999999"/>
    <n v="20.746837845765764"/>
    <x v="0"/>
  </r>
  <r>
    <s v="Rural+Urban"/>
    <x v="1"/>
    <x v="0"/>
    <n v="1615.9999999999998"/>
    <n v="0.40841584158417543"/>
    <n v="145.1"/>
    <n v="3.308063404548589"/>
    <n v="143.6"/>
    <n v="4.5264623955431738"/>
    <n v="123.3"/>
    <n v="4.7850770478507609"/>
    <n v="147.69999999999999"/>
    <n v="-261.75158734323355"/>
    <x v="0"/>
  </r>
  <r>
    <s v="Rural"/>
    <x v="1"/>
    <x v="1"/>
    <n v="1622.6000000000001"/>
    <n v="-0.38210279797855629"/>
    <n v="149.9"/>
    <n v="-7.6050700466978043"/>
    <n v="150.1"/>
    <n v="-8.9940039973351098"/>
    <n v="129.19999999999999"/>
    <n v="-7.7399380804953459"/>
    <n v="148.5"/>
    <n v="-150.94295302013435"/>
    <x v="0"/>
  </r>
  <r>
    <s v="Urban"/>
    <x v="1"/>
    <x v="1"/>
    <n v="1616.4"/>
    <n v="0.19797079930710115"/>
    <n v="138.5"/>
    <n v="5.1263537906137246"/>
    <n v="136.6"/>
    <n v="5.1976573938506521"/>
    <n v="119.2"/>
    <n v="3.9429530201342322"/>
    <n v="148.5"/>
    <n v="22.816959455978591"/>
    <x v="0"/>
  </r>
  <r>
    <s v="Rural+Urban"/>
    <x v="1"/>
    <x v="1"/>
    <n v="1619.6"/>
    <n v="0.26549765374168643"/>
    <n v="145.6"/>
    <n v="3.2967032967033072"/>
    <n v="143.69999999999999"/>
    <n v="4.3841336116910323"/>
    <n v="123.9"/>
    <n v="4.8426150121065437"/>
    <n v="148.5"/>
    <n v="-258.96843725943012"/>
    <x v="0"/>
  </r>
  <r>
    <s v="Rural"/>
    <x v="1"/>
    <x v="2"/>
    <n v="1623.9000000000003"/>
    <n v="0.3017427181476684"/>
    <n v="150.4"/>
    <n v="-7.4468085106383146"/>
    <n v="150"/>
    <n v="-8.7999999999999972"/>
    <n v="129.9"/>
    <n v="-7.6982294072363349"/>
    <n v="149"/>
    <n v="-150.91993327773133"/>
    <x v="0"/>
  </r>
  <r>
    <s v="Urban"/>
    <x v="1"/>
    <x v="2"/>
    <n v="1628.8000000000002"/>
    <n v="-0.24557956777996326"/>
    <n v="139.19999999999999"/>
    <n v="5.0287356321839116"/>
    <n v="136.80000000000001"/>
    <n v="5.1169590643274754"/>
    <n v="119.9"/>
    <n v="3.9199332777314355"/>
    <n v="149"/>
    <n v="14.654554147740795"/>
    <x v="0"/>
  </r>
  <r>
    <s v="Rural+Urban"/>
    <x v="1"/>
    <x v="2"/>
    <n v="1624.8000000000002"/>
    <n v="1.1139832594780907"/>
    <n v="146.19999999999999"/>
    <n v="3.488372093023262"/>
    <n v="143.80000000000001"/>
    <n v="3.9638386648122248"/>
    <n v="124.6"/>
    <n v="4.4943820224718989"/>
    <n v="149"/>
    <n v="-272.59984639016938"/>
    <x v="0"/>
  </r>
  <r>
    <s v="Rural"/>
    <x v="1"/>
    <x v="4"/>
    <n v="1642.9"/>
    <n v="1.5095258384564048"/>
    <n v="151.30000000000001"/>
    <n v="-7.6007931262392585"/>
    <n v="149.5"/>
    <n v="-8.227424749163891"/>
    <n v="130.19999999999999"/>
    <n v="-7.7572964669738838"/>
    <n v="150.1"/>
    <n v="-151.52142191737931"/>
    <x v="0"/>
  </r>
  <r>
    <s v="Urban"/>
    <x v="1"/>
    <x v="4"/>
    <n v="1667.7000000000003"/>
    <n v="-1.0013791449301479"/>
    <n v="139.80000000000001"/>
    <n v="5.0786838340486362"/>
    <n v="137.19999999999999"/>
    <n v="4.7376093294460686"/>
    <n v="120.1"/>
    <n v="3.9966694421315729"/>
    <n v="150.1"/>
    <n v="6.1732719508931"/>
    <x v="0"/>
  </r>
  <r>
    <s v="Rural+Urban"/>
    <x v="1"/>
    <x v="4"/>
    <n v="1651.0000000000002"/>
    <n v="0.73894609327678218"/>
    <n v="146.9"/>
    <n v="3.2675289312457334"/>
    <n v="143.69999999999999"/>
    <n v="4.1057759220598511"/>
    <n v="124.9"/>
    <n v="4.2433947157725971"/>
    <n v="150.1"/>
    <n v="-291.85867895545397"/>
    <x v="0"/>
  </r>
  <r>
    <s v="Rural"/>
    <x v="1"/>
    <x v="5"/>
    <n v="1663.1999999999998"/>
    <n v="1.4730639730639705"/>
    <n v="151.69999999999999"/>
    <n v="-7.5148319050757912"/>
    <n v="149.6"/>
    <n v="-8.1550802139037319"/>
    <n v="130.19999999999999"/>
    <n v="-8.1413210445468458"/>
    <n v="149.4"/>
    <n v="-151.35041332744382"/>
    <x v="0"/>
  </r>
  <r>
    <s v="Urban"/>
    <x v="1"/>
    <x v="5"/>
    <n v="1687.6999999999998"/>
    <n v="-0.96581145938257063"/>
    <n v="140.30000000000001"/>
    <n v="5.0605844618674123"/>
    <n v="137.4"/>
    <n v="4.6579330422125143"/>
    <n v="119.6"/>
    <n v="4.1806020066889715"/>
    <n v="149.4"/>
    <n v="26.703049759229145"/>
    <x v="0"/>
  </r>
  <r>
    <s v="Rural+Urban"/>
    <x v="1"/>
    <x v="5"/>
    <n v="1671.4"/>
    <n v="0.74787603206891706"/>
    <n v="147.4"/>
    <n v="3.2564450474898088"/>
    <n v="143.80000000000001"/>
    <n v="4.311543810848395"/>
    <n v="124.6"/>
    <n v="5.2969502407704594"/>
    <n v="149.4"/>
    <n v="-252.52679231337791"/>
    <x v="0"/>
  </r>
  <r>
    <s v="Rural"/>
    <x v="1"/>
    <x v="6"/>
    <n v="1683.8999999999999"/>
    <n v="1.5321574915375002"/>
    <n v="152.19999999999999"/>
    <n v="-7.4901445466491356"/>
    <n v="150"/>
    <n v="-8.2000000000000064"/>
    <n v="131.19999999999999"/>
    <n v="-8.0792682926829293"/>
    <n v="150.6"/>
    <n v="-151.31574830251247"/>
    <x v="0"/>
  </r>
  <r>
    <s v="Urban"/>
    <x v="1"/>
    <x v="6"/>
    <n v="1709.6999999999998"/>
    <n v="-0.98847751067437928"/>
    <n v="140.80000000000001"/>
    <n v="5.0426136363636243"/>
    <n v="137.69999999999999"/>
    <n v="4.7204066811910028"/>
    <n v="120.6"/>
    <n v="4.1459369817578695"/>
    <n v="150.6"/>
    <n v="11.382165605095862"/>
    <x v="0"/>
  </r>
  <r>
    <s v="Rural+Urban"/>
    <x v="1"/>
    <x v="6"/>
    <n v="1692.8"/>
    <n v="-0.13586956521737248"/>
    <n v="147.9"/>
    <n v="3.2454361054766512"/>
    <n v="144.19999999999999"/>
    <n v="4.1608876560332853"/>
    <n v="125.6"/>
    <n v="4.6178343949044631"/>
    <n v="150.6"/>
    <n v="-274.69164960898541"/>
    <x v="0"/>
  </r>
  <r>
    <s v="Rural"/>
    <x v="1"/>
    <x v="7"/>
    <n v="1690.5000000000002"/>
    <n v="1.7450458444247197"/>
    <n v="152.69999999999999"/>
    <n v="-7.3346430910281484"/>
    <n v="150.19999999999999"/>
    <n v="-8.0559254327563163"/>
    <n v="131.4"/>
    <n v="-8.0669710806697168"/>
    <n v="151.6"/>
    <n v="-151.30888416843672"/>
    <x v="0"/>
  </r>
  <r>
    <s v="Urban"/>
    <x v="1"/>
    <x v="7"/>
    <n v="1720"/>
    <n v="-1.1279069767441863"/>
    <n v="141.5"/>
    <n v="4.9469964664310861"/>
    <n v="138.1"/>
    <n v="4.6343229543808873"/>
    <n v="120.8"/>
    <n v="4.1390728476821126"/>
    <n v="151.6"/>
    <n v="11.389507154213184"/>
    <x v="0"/>
  </r>
  <r>
    <s v="Rural+Urban"/>
    <x v="1"/>
    <x v="7"/>
    <n v="1700.6"/>
    <n v="0.15288721627662039"/>
    <n v="148.5"/>
    <n v="3.2996632996633135"/>
    <n v="144.5"/>
    <n v="4.0138408304498441"/>
    <n v="125.8"/>
    <n v="4.6104928457869621"/>
    <n v="151.6"/>
    <n v="-271.40760926527616"/>
    <x v="0"/>
  </r>
  <r>
    <s v="Rural"/>
    <x v="1"/>
    <x v="8"/>
    <n v="1703.2"/>
    <n v="1.3034288398309002"/>
    <n v="153.4"/>
    <n v="-7.4967405475880096"/>
    <n v="150.30000000000001"/>
    <n v="-7.9840319361277441"/>
    <n v="131.6"/>
    <n v="-7.9027355623100259"/>
    <n v="152.19999999999999"/>
    <n v="-151.15828890581363"/>
    <x v="0"/>
  </r>
  <r>
    <s v="Urban"/>
    <x v="1"/>
    <x v="8"/>
    <n v="1725.4"/>
    <n v="-0.85197635330939159"/>
    <n v="141.9"/>
    <n v="5.0035236081747758"/>
    <n v="138.30000000000001"/>
    <n v="4.5553145336225453"/>
    <n v="121.2"/>
    <n v="4.0429042904290391"/>
    <n v="152.19999999999999"/>
    <n v="9.8447943808771079"/>
    <x v="0"/>
  </r>
  <r>
    <s v="Rural+Urban"/>
    <x v="1"/>
    <x v="8"/>
    <n v="1710.6999999999998"/>
    <n v="1.0463552931548437"/>
    <n v="149"/>
    <n v="3.1543624161073813"/>
    <n v="144.6"/>
    <n v="4.1493775933610033"/>
    <n v="126.1"/>
    <n v="4.440919904837437"/>
    <n v="152.19999999999999"/>
    <n v="-274.39798242759474"/>
    <x v="0"/>
  </r>
  <r>
    <s v="Rural"/>
    <x v="1"/>
    <x v="9"/>
    <n v="1728.5999999999997"/>
    <n v="1.2784912646072177"/>
    <n v="153.69999999999999"/>
    <n v="-7.351984385165899"/>
    <n v="150.6"/>
    <n v="-7.9017264276228456"/>
    <n v="131.69999999999999"/>
    <n v="-7.7448747152619513"/>
    <n v="153"/>
    <n v="-151.00944081336232"/>
    <x v="0"/>
  </r>
  <r>
    <s v="Urban"/>
    <x v="1"/>
    <x v="9"/>
    <n v="1750.7"/>
    <n v="-0.83966413434627407"/>
    <n v="142.4"/>
    <n v="4.9157303370786609"/>
    <n v="138.69999999999999"/>
    <n v="4.5421773612112526"/>
    <n v="121.5"/>
    <n v="3.9506172839506082"/>
    <n v="153"/>
    <n v="16.241092636580046"/>
    <x v="0"/>
  </r>
  <r>
    <s v="Rural+Urban"/>
    <x v="1"/>
    <x v="9"/>
    <n v="1735.9999999999998"/>
    <n v="1.0195852534562455"/>
    <n v="149.4"/>
    <n v="3.2797858099062882"/>
    <n v="145"/>
    <n v="4.0689655172413852"/>
    <n v="126.3"/>
    <n v="4.5922406967537688"/>
    <n v="153"/>
    <n v="-271.43752120911489"/>
    <x v="0"/>
  </r>
  <r>
    <s v="Rural"/>
    <x v="1"/>
    <x v="10"/>
    <n v="1753.7"/>
    <n v="0.95227233848433901"/>
    <n v="154.30000000000001"/>
    <n v="-7.4530136098509336"/>
    <n v="150.9"/>
    <n v="-7.8197481776010713"/>
    <n v="132.1"/>
    <n v="-7.8728236184708482"/>
    <n v="153.5"/>
    <n v="-151.14167878136661"/>
    <x v="0"/>
  </r>
  <r>
    <s v="Urban"/>
    <x v="1"/>
    <x v="10"/>
    <n v="1770.3999999999999"/>
    <n v="-0.64392227745141417"/>
    <n v="142.80000000000001"/>
    <n v="4.9719887955182118"/>
    <n v="139.1"/>
    <n v="4.4572250179726991"/>
    <n v="121.7"/>
    <n v="4.0262941659819251"/>
    <n v="153.5"/>
    <n v="64.793500338523984"/>
    <x v="0"/>
  </r>
  <r>
    <s v="Rural+Urban"/>
    <x v="1"/>
    <x v="10"/>
    <n v="1759"/>
    <n v="1.574758385446251"/>
    <n v="149.9"/>
    <n v="3.2688458972648382"/>
    <n v="145.30000000000001"/>
    <n v="4.0605643496214539"/>
    <n v="126.6"/>
    <n v="6.6350710900473953"/>
    <n v="153.5"/>
    <n v="-209.40740740740731"/>
    <x v="0"/>
  </r>
  <r>
    <s v="Rural"/>
    <x v="1"/>
    <x v="11"/>
    <n v="1786.6999999999996"/>
    <n v="0.76677673923997158"/>
    <n v="154.80000000000001"/>
    <n v="-7.493540051679604"/>
    <n v="151.19999999999999"/>
    <n v="-7.5396825396825236"/>
    <n v="135"/>
    <n v="-7.2592592592592542"/>
    <n v="152.80000000000001"/>
    <n v="-150.61289691595502"/>
    <x v="0"/>
  </r>
  <r>
    <s v="Urban"/>
    <x v="1"/>
    <x v="11"/>
    <n v="1800.4"/>
    <n v="-0.51655187736058261"/>
    <n v="143.19999999999999"/>
    <n v="5.0279329608938772"/>
    <n v="139.80000000000001"/>
    <n v="4.2918454935622297"/>
    <n v="125.2"/>
    <n v="3.6741214057508076"/>
    <n v="152.80000000000001"/>
    <n v="36.296643665840293"/>
    <x v="0"/>
  </r>
  <r>
    <s v="Rural+Urban"/>
    <x v="1"/>
    <x v="11"/>
    <n v="1791.1000000000001"/>
    <n v="-0.3070738652225069"/>
    <n v="150.4"/>
    <n v="3.5239361702127603"/>
    <n v="145.80000000000001"/>
    <n v="4.0466392318244004"/>
    <n v="129.80000000000001"/>
    <n v="5.00770416024654"/>
    <n v="152.80000000000001"/>
    <n v="-249.43958462667203"/>
    <x v="0"/>
  </r>
  <r>
    <s v="Rural"/>
    <x v="2"/>
    <x v="0"/>
    <n v="1785.6"/>
    <n v="0.30241935483870108"/>
    <n v="155.69999999999999"/>
    <n v="-7.642903018625546"/>
    <n v="151.69999999999999"/>
    <n v="-7.6466710613051987"/>
    <n v="136.30000000000001"/>
    <n v="-7.4834922964050037"/>
    <n v="153.9"/>
    <n v="-150.86532630498672"/>
    <x v="1"/>
  </r>
  <r>
    <s v="Urban"/>
    <x v="2"/>
    <x v="0"/>
    <n v="1790.9999999999998"/>
    <n v="-0.22892238972640477"/>
    <n v="143.80000000000001"/>
    <n v="5.1460361613351768"/>
    <n v="140.1"/>
    <n v="4.3540328336902245"/>
    <n v="126.1"/>
    <n v="3.8065027755749492"/>
    <n v="153.9"/>
    <n v="2.353896103895603"/>
    <x v="1"/>
  </r>
  <r>
    <s v="Rural+Urban"/>
    <x v="2"/>
    <x v="0"/>
    <n v="1786.8999999999999"/>
    <n v="-1.5054004141250243"/>
    <n v="151.19999999999999"/>
    <n v="3.3068783068783025"/>
    <n v="146.19999999999999"/>
    <n v="3.8303693570451491"/>
    <n v="130.9"/>
    <n v="3.8961038961038863"/>
    <n v="153.9"/>
    <n v="-303.82352941176504"/>
    <x v="1"/>
  </r>
  <r>
    <s v="Rural"/>
    <x v="2"/>
    <x v="1"/>
    <n v="1759.9999999999998"/>
    <n v="0.27840909090910415"/>
    <n v="156.19999999999999"/>
    <n v="-7.5544174135723345"/>
    <n v="151.80000000000001"/>
    <n v="-7.5098814229249022"/>
    <n v="136"/>
    <n v="-7.9411764705882293"/>
    <n v="154.80000000000001"/>
    <n v="-151.29570465033743"/>
    <x v="1"/>
  </r>
  <r>
    <s v="Urban"/>
    <x v="2"/>
    <x v="1"/>
    <n v="1764.8999999999999"/>
    <n v="-0.21530964927191087"/>
    <n v="144.4"/>
    <n v="5.0554016620498521"/>
    <n v="140.4"/>
    <n v="4.2735042735042805"/>
    <n v="125.2"/>
    <n v="4.0734824281150273"/>
    <n v="154.80000000000001"/>
    <n v="3.622108858892692"/>
    <x v="1"/>
  </r>
  <r>
    <s v="Rural+Urban"/>
    <x v="2"/>
    <x v="1"/>
    <n v="1761.1"/>
    <n v="-0.83470558173870391"/>
    <n v="151.69999999999999"/>
    <n v="3.2959789057350086"/>
    <n v="146.4"/>
    <n v="3.4836065573770503"/>
    <n v="130.30000000000001"/>
    <n v="4.2210283960092188"/>
    <n v="154.80000000000001"/>
    <n v="-295.38894095595117"/>
    <x v="1"/>
  </r>
  <r>
    <s v="Rural"/>
    <x v="2"/>
    <x v="2"/>
    <n v="1746.3999999999996"/>
    <n v="0.11452130096201163"/>
    <n v="156.69999999999999"/>
    <n v="-7.4664964901084758"/>
    <n v="151.5"/>
    <n v="-7.06270627062705"/>
    <n v="135.80000000000001"/>
    <n v="-8.2474226804123862"/>
    <n v="154.5"/>
    <n v="-151.57504012841105"/>
    <x v="1"/>
  </r>
  <r>
    <s v="Urban"/>
    <x v="2"/>
    <x v="2"/>
    <n v="1748.4"/>
    <n v="-0.10867078471745728"/>
    <n v="145"/>
    <n v="5.0344827586207064"/>
    <n v="140.80000000000001"/>
    <n v="3.9772727272727293"/>
    <n v="124.6"/>
    <n v="4.2536115569823618"/>
    <n v="154.5"/>
    <n v="-147.95996920708231"/>
    <x v="1"/>
  </r>
  <r>
    <s v="Rural+Urban"/>
    <x v="2"/>
    <x v="2"/>
    <n v="1746.5"/>
    <n v="-16.135127397652425"/>
    <n v="152.30000000000001"/>
    <n v="1.3131976362442455"/>
    <n v="146.4"/>
    <n v="-1.9125683060109422"/>
    <n v="129.9"/>
    <n v="-2.0400307929176353"/>
    <n v="155.05000000000001"/>
    <n v="-151.04125736738658"/>
    <x v="1"/>
  </r>
  <r>
    <s v="Rural"/>
    <x v="2"/>
    <x v="3"/>
    <n v="1464.7000000000003"/>
    <n v="1.2630572813545182"/>
    <n v="154.30000000000001"/>
    <n v="-6.1568373298768631"/>
    <n v="143.6"/>
    <n v="0.97493036211699913"/>
    <n v="127.25"/>
    <n v="1.0412573673870273"/>
    <n v="155.6"/>
    <n v="-149.48473653509609"/>
    <x v="1"/>
  </r>
  <r>
    <s v="Urban"/>
    <x v="2"/>
    <x v="3"/>
    <n v="1483.2"/>
    <n v="-0.80231930960087405"/>
    <n v="144.80000000000001"/>
    <n v="4.0745856353590959"/>
    <n v="145"/>
    <n v="-0.48275862068964948"/>
    <n v="128.57499999999999"/>
    <n v="-0.51526346490374797"/>
    <n v="155.6"/>
    <n v="-150.25896609010098"/>
    <x v="1"/>
  </r>
  <r>
    <s v="Rural+Urban"/>
    <x v="2"/>
    <x v="3"/>
    <n v="1471.3"/>
    <n v="23.788912299780197"/>
    <n v="150.69999999999999"/>
    <n v="-1.9575315195753062"/>
    <n v="144.30000000000001"/>
    <n v="0.24255024255024349"/>
    <n v="127.91249999999999"/>
    <n v="0.25896609010065408"/>
    <n v="155.6"/>
    <n v="-149.870851406014"/>
    <x v="1"/>
  </r>
  <r>
    <s v="Rural"/>
    <x v="2"/>
    <x v="4"/>
    <n v="1821.306266666666"/>
    <n v="-0.23386328508392396"/>
    <n v="147.75"/>
    <n v="0.99830795262267902"/>
    <n v="144.65"/>
    <n v="-0.12098167991705377"/>
    <n v="128.24375000000001"/>
    <n v="-0.12914859398606149"/>
    <n v="155.6"/>
    <n v="-150.06465780162958"/>
    <x v="1"/>
  </r>
  <r>
    <s v="Urban"/>
    <x v="2"/>
    <x v="4"/>
    <n v="1817.0469000000001"/>
    <n v="0.14057975058321404"/>
    <n v="149.22499999999999"/>
    <n v="-0.49422013737643322"/>
    <n v="144.47499999999999"/>
    <n v="6.0564111437977353E-2"/>
    <n v="128.078125"/>
    <n v="6.4657801634737666E-2"/>
    <n v="155.6"/>
    <n v="15876.462423449881"/>
    <x v="1"/>
  </r>
  <r>
    <s v="Rural+Urban"/>
    <x v="2"/>
    <x v="4"/>
    <n v="1819.6013"/>
    <n v="-1.1486747124218932"/>
    <n v="148.48750000000001"/>
    <n v="6.5409546258102358"/>
    <n v="144.5625"/>
    <n v="4.9373108517077213"/>
    <n v="128.16093749999999"/>
    <n v="10.330029382002625"/>
    <n v="155.6"/>
    <n v="-182.83891539328417"/>
    <x v="1"/>
  </r>
  <r>
    <s v="Rural"/>
    <x v="2"/>
    <x v="5"/>
    <n v="1798.7"/>
    <n v="2.1849113248457064"/>
    <n v="158.19999999999999"/>
    <n v="-6.38432364096081"/>
    <n v="151.69999999999999"/>
    <n v="-7.4489123269610991"/>
    <n v="141.4"/>
    <n v="-8.5572842998585479"/>
    <n v="154.69999999999999"/>
    <n v="-151.51579068474229"/>
    <x v="1"/>
  </r>
  <r>
    <s v="Urban"/>
    <x v="2"/>
    <x v="5"/>
    <n v="1837.9999999999998"/>
    <n v="-1.371055495103346"/>
    <n v="148.1"/>
    <n v="4.2538825118163537"/>
    <n v="140.4"/>
    <n v="4.2735042735042805"/>
    <n v="129.30000000000001"/>
    <n v="4.4083526682134444"/>
    <n v="154.69999999999999"/>
    <n v="7.5399610136453799"/>
    <x v="1"/>
  </r>
  <r>
    <s v="Rural+Urban"/>
    <x v="2"/>
    <x v="5"/>
    <n v="1812.8000000000002"/>
    <n v="-0.77780229479259555"/>
    <n v="154.4"/>
    <n v="2.4611398963730435"/>
    <n v="146.4"/>
    <n v="3.6202185792349573"/>
    <n v="135"/>
    <n v="4.7407407407407343"/>
    <n v="154.69999999999999"/>
    <n v="-280.50521570014149"/>
    <x v="1"/>
  </r>
  <r>
    <s v="Rural"/>
    <x v="2"/>
    <x v="6"/>
    <n v="1798.7"/>
    <n v="2.1849113248457064"/>
    <n v="158.19999999999999"/>
    <n v="-6.38432364096081"/>
    <n v="151.69999999999999"/>
    <n v="-7.4489123269610991"/>
    <n v="141.4"/>
    <n v="-8.5572842998585479"/>
    <n v="154.69999999999999"/>
    <n v="-151.51579068474229"/>
    <x v="1"/>
  </r>
  <r>
    <s v="Urban"/>
    <x v="2"/>
    <x v="6"/>
    <n v="1837.9999999999998"/>
    <n v="-1.371055495103346"/>
    <n v="148.1"/>
    <n v="4.2538825118163537"/>
    <n v="140.4"/>
    <n v="4.2735042735042805"/>
    <n v="129.30000000000001"/>
    <n v="4.4083526682134444"/>
    <n v="154.69999999999999"/>
    <n v="44.506822612085941"/>
    <x v="1"/>
  </r>
  <r>
    <s v="Rural+Urban"/>
    <x v="2"/>
    <x v="6"/>
    <n v="1812.8000000000002"/>
    <n v="0.57921447484552413"/>
    <n v="154.4"/>
    <n v="2.8497409326424972"/>
    <n v="146.4"/>
    <n v="3.7568306010928865"/>
    <n v="135"/>
    <n v="6.3703703703703596"/>
    <n v="154.69999999999999"/>
    <n v="-206.03582302260799"/>
    <x v="1"/>
  </r>
  <r>
    <s v="Rural"/>
    <x v="2"/>
    <x v="7"/>
    <n v="1823.3"/>
    <n v="2.2870619206932341"/>
    <n v="158.80000000000001"/>
    <n v="-6.3602015113350285"/>
    <n v="151.9"/>
    <n v="-4.8716260697827529"/>
    <n v="143.6"/>
    <n v="-6.7548746518105718"/>
    <n v="155.5"/>
    <n v="-150.85807996427545"/>
    <x v="1"/>
  </r>
  <r>
    <s v="Urban"/>
    <x v="2"/>
    <x v="7"/>
    <n v="1864.9999999999998"/>
    <n v="-1.4369973190348495"/>
    <n v="148.69999999999999"/>
    <n v="4.2367182246133339"/>
    <n v="144.5"/>
    <n v="2.6989619377162599"/>
    <n v="133.9"/>
    <n v="3.4353995519043945"/>
    <n v="155.5"/>
    <n v="28.20436352221034"/>
    <x v="1"/>
  </r>
  <r>
    <s v="Rural+Urban"/>
    <x v="2"/>
    <x v="7"/>
    <n v="1838.1999999999998"/>
    <n v="-0.37536720705036997"/>
    <n v="155"/>
    <n v="2.645161290322573"/>
    <n v="148.4"/>
    <n v="2.1563342318059231"/>
    <n v="138.5"/>
    <n v="4.4043321299638949"/>
    <n v="155.5"/>
    <n v="-249.16785706187801"/>
    <x v="1"/>
  </r>
  <r>
    <s v="Rural"/>
    <x v="2"/>
    <x v="8"/>
    <n v="1831.3"/>
    <n v="2.6756948615737519"/>
    <n v="159.1"/>
    <n v="-5.7196731615336223"/>
    <n v="151.6"/>
    <n v="-4.0897097625329781"/>
    <n v="144.6"/>
    <n v="-6.569847856154909"/>
    <n v="156.30000000000001"/>
    <n v="-150.69928707779815"/>
    <x v="1"/>
  </r>
  <r>
    <s v="Urban"/>
    <x v="2"/>
    <x v="8"/>
    <n v="1880.3000000000002"/>
    <n v="-1.6646279848960388"/>
    <n v="150"/>
    <n v="3.7333333333333218"/>
    <n v="145.4"/>
    <n v="2.2696011004126326"/>
    <n v="135.1"/>
    <n v="3.3308660251665456"/>
    <n v="156.30000000000001"/>
    <n v="46.240050939191612"/>
    <x v="1"/>
  </r>
  <r>
    <s v="Rural+Urban"/>
    <x v="2"/>
    <x v="8"/>
    <n v="1849"/>
    <n v="1.2060573282855591"/>
    <n v="155.6"/>
    <n v="2.5064267352185032"/>
    <n v="148.69999999999999"/>
    <n v="2.21923335574985"/>
    <n v="139.6"/>
    <n v="4.8710601719197832"/>
    <n v="156.30000000000001"/>
    <n v="-254.25104468016681"/>
    <x v="1"/>
  </r>
  <r>
    <s v="Rural"/>
    <x v="2"/>
    <x v="9"/>
    <n v="1871.3000000000002"/>
    <n v="2.3780259712499197"/>
    <n v="159.5"/>
    <n v="-5.3291536050156685"/>
    <n v="152"/>
    <n v="-4.5394736842105265"/>
    <n v="146.4"/>
    <n v="-7.5136612021857951"/>
    <n v="156.5"/>
    <n v="-151.1131999462871"/>
    <x v="1"/>
  </r>
  <r>
    <s v="Urban"/>
    <x v="2"/>
    <x v="9"/>
    <n v="1915.8"/>
    <n v="-1.4928489403904233"/>
    <n v="151"/>
    <n v="3.5099337748344395"/>
    <n v="145.1"/>
    <n v="2.4810475534114307"/>
    <n v="135.4"/>
    <n v="3.8404726735598249"/>
    <n v="156.5"/>
    <n v="1.8574242258454277"/>
    <x v="1"/>
  </r>
  <r>
    <s v="Rural+Urban"/>
    <x v="2"/>
    <x v="9"/>
    <n v="1887.2000000000003"/>
    <n v="1.6850360322170355"/>
    <n v="156.30000000000001"/>
    <n v="2.6231605886116505"/>
    <n v="148.69999999999999"/>
    <n v="2.757229320780108"/>
    <n v="140.6"/>
    <n v="3.9118065433854987"/>
    <n v="156.5"/>
    <n v="-290.72117478688307"/>
    <x v="1"/>
  </r>
  <r>
    <s v="Rural"/>
    <x v="2"/>
    <x v="10"/>
    <n v="1919.0000000000002"/>
    <n v="1.8082334549244239"/>
    <n v="160.4"/>
    <n v="-5.2369077306733232"/>
    <n v="152.80000000000001"/>
    <n v="-5.039267015706816"/>
    <n v="146.1"/>
    <n v="-7.4606433949349853"/>
    <n v="158"/>
    <n v="-151.55257586450253"/>
    <x v="1"/>
  </r>
  <r>
    <s v="Urban"/>
    <x v="2"/>
    <x v="10"/>
    <n v="1953.7"/>
    <n v="-1.1670164303628994"/>
    <n v="152"/>
    <n v="3.4210526315789469"/>
    <n v="145.1"/>
    <n v="2.8256374913852467"/>
    <n v="135.19999999999999"/>
    <n v="3.8461538461538547"/>
    <n v="158"/>
    <n v="11.11111111111105"/>
    <x v="1"/>
  </r>
  <r>
    <s v="Rural+Urban"/>
    <x v="2"/>
    <x v="10"/>
    <n v="1930.9"/>
    <n v="0.26412553731420818"/>
    <n v="157.19999999999999"/>
    <n v="2.7989821882951738"/>
    <n v="149.19999999999999"/>
    <n v="2.8150134048257502"/>
    <n v="140.4"/>
    <n v="4.2735042735042805"/>
    <n v="158"/>
    <n v="-274.22131147540955"/>
    <x v="1"/>
  </r>
  <r>
    <s v="Rural"/>
    <x v="2"/>
    <x v="11"/>
    <n v="1936"/>
    <n v="1.1570247933884392"/>
    <n v="161.6"/>
    <n v="-5.3836633663366218"/>
    <n v="153.4"/>
    <n v="-5.1499348109517618"/>
    <n v="146.4"/>
    <n v="-7.4453551912568301"/>
    <n v="158.4"/>
    <n v="-151.5440603947323"/>
    <x v="1"/>
  </r>
  <r>
    <s v="Urban"/>
    <x v="2"/>
    <x v="11"/>
    <n v="1958.4"/>
    <n v="-0.75061274509804488"/>
    <n v="152.9"/>
    <n v="3.5317200784826808"/>
    <n v="145.5"/>
    <n v="2.8865979381443196"/>
    <n v="135.5"/>
    <n v="3.8376383763837563"/>
    <n v="158.4"/>
    <n v="25.936252801924773"/>
    <x v="1"/>
  </r>
  <r>
    <s v="Rural+Urban"/>
    <x v="2"/>
    <x v="11"/>
    <n v="1943.7"/>
    <n v="-1.934454905592442"/>
    <n v="158.30000000000001"/>
    <n v="2.653190145293749"/>
    <n v="149.69999999999999"/>
    <n v="2.8056112224448926"/>
    <n v="140.69999999999999"/>
    <n v="4.8329779673063289"/>
    <n v="158.4"/>
    <n v="-248.69591226321023"/>
    <x v="1"/>
  </r>
  <r>
    <s v="Rural"/>
    <x v="3"/>
    <x v="0"/>
    <n v="1906.0999999999997"/>
    <n v="1.4427364776244955"/>
    <n v="162.5"/>
    <n v="-5.1692307692307704"/>
    <n v="153.9"/>
    <n v="-5.328135152696567"/>
    <n v="147.5"/>
    <n v="-7.1864406779660994"/>
    <n v="157.69999999999999"/>
    <n v="-150.82211227035307"/>
    <x v="2"/>
  </r>
  <r>
    <s v="Urban"/>
    <x v="3"/>
    <x v="0"/>
    <n v="1933.6000000000001"/>
    <n v="-0.93607778237486672"/>
    <n v="154.1"/>
    <n v="3.3744321868916405"/>
    <n v="145.69999999999999"/>
    <n v="2.9512697323267112"/>
    <n v="136.9"/>
    <n v="3.6523009495982528"/>
    <n v="157.69999999999999"/>
    <n v="60.150810429879733"/>
    <x v="2"/>
  </r>
  <r>
    <s v="Rural+Urban"/>
    <x v="3"/>
    <x v="0"/>
    <n v="1915.4999999999998"/>
    <n v="-2.344035499869479"/>
    <n v="159.30000000000001"/>
    <n v="3.1387319522912849"/>
    <n v="150"/>
    <n v="3.2000000000000028"/>
    <n v="141.9"/>
    <n v="5.8491895701197949"/>
    <n v="157.69999999999999"/>
    <n v="-210.40941395408535"/>
    <x v="2"/>
  </r>
  <r>
    <s v="Rural"/>
    <x v="3"/>
    <x v="1"/>
    <n v="1870.6"/>
    <n v="1.8496739014220109"/>
    <n v="164.3"/>
    <n v="-4.8691418137553288"/>
    <n v="154.80000000000001"/>
    <n v="-5.3617571059431546"/>
    <n v="150.19999999999999"/>
    <n v="-6.458055925432749"/>
    <n v="159.80000000000001"/>
    <n v="-150.69670176468426"/>
    <x v="2"/>
  </r>
  <r>
    <s v="Urban"/>
    <x v="3"/>
    <x v="1"/>
    <n v="1905.2"/>
    <n v="-1.1967247533067327"/>
    <n v="156.30000000000001"/>
    <n v="3.1989763275751759"/>
    <n v="146.5"/>
    <n v="3.0034129692832812"/>
    <n v="140.5"/>
    <n v="3.2740213523131612"/>
    <n v="159.80000000000001"/>
    <n v="30.509693464777634"/>
    <x v="2"/>
  </r>
  <r>
    <s v="Rural+Urban"/>
    <x v="3"/>
    <x v="1"/>
    <n v="1882.4"/>
    <n v="-0.59498512537187187"/>
    <n v="161.30000000000001"/>
    <n v="2.0458772473651576"/>
    <n v="150.9"/>
    <n v="2.5844930417495027"/>
    <n v="145.1"/>
    <n v="4.2729152308752738"/>
    <n v="159.80000000000001"/>
    <n v="-248.49369976334111"/>
    <x v="2"/>
  </r>
  <r>
    <s v="Rural"/>
    <x v="3"/>
    <x v="2"/>
    <n v="1871.2"/>
    <n v="1.7582300128259787"/>
    <n v="164.6"/>
    <n v="-4.6780072904009646"/>
    <n v="154.80000000000001"/>
    <n v="-4.909560723514228"/>
    <n v="151.30000000000001"/>
    <n v="-6.3450099140780036"/>
    <n v="159.9"/>
    <n v="-150.05072335920943"/>
    <x v="2"/>
  </r>
  <r>
    <s v="Urban"/>
    <x v="3"/>
    <x v="2"/>
    <n v="1904.0999999999997"/>
    <n v="-1.1238905519667997"/>
    <n v="156.9"/>
    <n v="3.0592734225621365"/>
    <n v="147.19999999999999"/>
    <n v="2.7173913043478271"/>
    <n v="141.69999999999999"/>
    <n v="3.1757233592095924"/>
    <n v="159.9"/>
    <n v="18.460252317981407"/>
    <x v="2"/>
  </r>
  <r>
    <s v="Rural+Urban"/>
    <x v="3"/>
    <x v="2"/>
    <n v="1882.6999999999998"/>
    <n v="0.59489031709780704"/>
    <n v="161.69999999999999"/>
    <n v="2.2263450834879572"/>
    <n v="151.19999999999999"/>
    <n v="2.8439153439153486"/>
    <n v="146.19999999999999"/>
    <n v="3.7619699042407584"/>
    <n v="159.9"/>
    <n v="-268.21717504644357"/>
    <x v="2"/>
  </r>
  <r>
    <s v="Rural"/>
    <x v="3"/>
    <x v="3"/>
    <n v="1893.9"/>
    <n v="1.7793970114578395"/>
    <n v="165.3"/>
    <n v="-4.7186932849364815"/>
    <n v="155.5"/>
    <n v="-5.0803858520900409"/>
    <n v="151.69999999999999"/>
    <n v="-6.3282794990112023"/>
    <n v="161.4"/>
    <n v="-150.04178395496149"/>
    <x v="2"/>
  </r>
  <r>
    <s v="Urban"/>
    <x v="3"/>
    <x v="3"/>
    <n v="1927.6"/>
    <n v="-1.1153766341564619"/>
    <n v="157.5"/>
    <n v="3.0476190476190546"/>
    <n v="147.6"/>
    <n v="2.8455284552845628"/>
    <n v="142.1"/>
    <n v="3.1667839549613053"/>
    <n v="161.4"/>
    <n v="42.164620281945474"/>
    <x v="2"/>
  </r>
  <r>
    <s v="Rural+Urban"/>
    <x v="3"/>
    <x v="3"/>
    <n v="1906.1"/>
    <n v="1.6001259115471456"/>
    <n v="162.30000000000001"/>
    <n v="4.1897720271102834"/>
    <n v="151.80000000000001"/>
    <n v="4.6113306982872304"/>
    <n v="146.6"/>
    <n v="4.5020463847203152"/>
    <n v="161.4"/>
    <n v="-218.88994382466973"/>
    <x v="2"/>
  </r>
  <r>
    <s v="Rural"/>
    <x v="3"/>
    <x v="4"/>
    <n v="1936.6"/>
    <n v="1.2341216565114221"/>
    <n v="169.1"/>
    <n v="-5.1448846836191553"/>
    <n v="158.80000000000001"/>
    <n v="-5.4785894206549219"/>
    <n v="153.19999999999999"/>
    <n v="-5.3524804177545571"/>
    <n v="161.6"/>
    <n v="-150.25063078217005"/>
    <x v="2"/>
  </r>
  <r>
    <s v="Urban"/>
    <x v="3"/>
    <x v="4"/>
    <n v="1960.5000000000002"/>
    <n v="-0.7906146391226776"/>
    <n v="160.4"/>
    <n v="3.366583541147139"/>
    <n v="150.1"/>
    <n v="3.0646235842771485"/>
    <n v="145"/>
    <n v="2.6896551724137963"/>
    <n v="161.6"/>
    <n v="32.338000034440384"/>
    <x v="2"/>
  </r>
  <r>
    <s v="Rural+Urban"/>
    <x v="3"/>
    <x v="4"/>
    <n v="1945.0000000000002"/>
    <n v="0.87917737789200423"/>
    <n v="165.8"/>
    <n v="2.3522316043425695"/>
    <n v="154.69999999999999"/>
    <n v="2.9088558500323103"/>
    <n v="148.9"/>
    <n v="3.5594358629952971"/>
    <n v="161.6"/>
    <n v="-222.07008785453826"/>
    <x v="2"/>
  </r>
  <r>
    <s v="Rural"/>
    <x v="3"/>
    <x v="5"/>
    <n v="1962.1"/>
    <n v="1.320014270424541"/>
    <n v="169.7"/>
    <n v="-5.2445492044784769"/>
    <n v="159.19999999999999"/>
    <n v="-5.9045226130653106"/>
    <n v="154.19999999999999"/>
    <n v="-4.3450064850843013"/>
    <n v="160.5"/>
    <n v="-149.93068555527424"/>
    <x v="2"/>
  </r>
  <r>
    <s v="Urban"/>
    <x v="3"/>
    <x v="5"/>
    <n v="1988"/>
    <n v="-0.84004024144869183"/>
    <n v="160.80000000000001"/>
    <n v="3.4203980099502429"/>
    <n v="149.80000000000001"/>
    <n v="3.3377837116154829"/>
    <n v="147.5"/>
    <n v="2.1694915254237168"/>
    <n v="160.5"/>
    <n v="95.753151957532907"/>
    <x v="2"/>
  </r>
  <r>
    <s v="Rural+Urban"/>
    <x v="3"/>
    <x v="5"/>
    <n v="1971.3"/>
    <n v="-3.0436767615271698E-2"/>
    <n v="166.3"/>
    <n v="2.4654239326518335"/>
    <n v="154.80000000000001"/>
    <n v="3.5529715762273817"/>
    <n v="150.69999999999999"/>
    <n v="4.2468480424684873"/>
    <n v="160.5"/>
    <n v="-213.9123169955441"/>
    <x v="2"/>
  </r>
  <r>
    <s v="Rural"/>
    <x v="3"/>
    <x v="6"/>
    <n v="1970.7"/>
    <n v="1.6846805703557344"/>
    <n v="170.4"/>
    <n v="-5.2230046948356872"/>
    <n v="160.30000000000001"/>
    <n v="-5.988771054273256"/>
    <n v="157.1"/>
    <n v="-4.8376830044557622"/>
    <n v="161.5"/>
    <n v="-149.77644780848419"/>
    <x v="2"/>
  </r>
  <r>
    <s v="Urban"/>
    <x v="3"/>
    <x v="6"/>
    <n v="2003.9000000000003"/>
    <n v="-1.0429662158790376"/>
    <n v="161.5"/>
    <n v="3.4055727554179516"/>
    <n v="150.69999999999999"/>
    <n v="3.3842070338420793"/>
    <n v="149.5"/>
    <n v="2.4080267558528323"/>
    <n v="161.5"/>
    <n v="24.773205602729508"/>
    <x v="2"/>
  </r>
  <r>
    <s v="Rural+Urban"/>
    <x v="3"/>
    <x v="6"/>
    <n v="1983.0000000000002"/>
    <n v="-0.70600100857287629"/>
    <n v="167"/>
    <n v="2.4550898203592686"/>
    <n v="155.80000000000001"/>
    <n v="3.2734274711168077"/>
    <n v="153.1"/>
    <n v="3.0045721750489918"/>
    <n v="161.5"/>
    <n v="-254.06660968818011"/>
    <x v="2"/>
  </r>
  <r>
    <s v="Rural"/>
    <x v="3"/>
    <x v="7"/>
    <n v="1969"/>
    <n v="1.0970035551041146"/>
    <n v="171.1"/>
    <n v="-4.8509643483342968"/>
    <n v="160.9"/>
    <n v="-4.7855811062772036"/>
    <n v="157.69999999999999"/>
    <n v="-4.6290424857323931"/>
    <n v="162.1"/>
    <n v="-151.70868551442715"/>
    <x v="2"/>
  </r>
  <r>
    <s v="Urban"/>
    <x v="3"/>
    <x v="7"/>
    <n v="1990.6"/>
    <n v="-0.63297498241734473"/>
    <n v="162.80000000000001"/>
    <n v="3.4398034398034349"/>
    <n v="153.19999999999999"/>
    <n v="2.8067885117493585"/>
    <n v="150.4"/>
    <n v="2.3936170212765839"/>
    <n v="162.1"/>
    <n v="3.0880230880243165"/>
    <x v="2"/>
  </r>
  <r>
    <s v="Rural+Urban"/>
    <x v="3"/>
    <x v="7"/>
    <n v="1978.0000000000002"/>
    <n v="-0.32861476238625897"/>
    <n v="168.4"/>
    <n v="2.0783847980997638"/>
    <n v="157.5"/>
    <n v="2.4126984126984219"/>
    <n v="154"/>
    <n v="2.467532467532485"/>
    <n v="162.1"/>
    <n v="-287.47915415916117"/>
    <x v="2"/>
  </r>
  <r>
    <s v="Rural"/>
    <x v="3"/>
    <x v="8"/>
    <n v="1971.5"/>
    <n v="0.96880547806239559"/>
    <n v="171.9"/>
    <n v="-5.2937754508435075"/>
    <n v="161.30000000000001"/>
    <n v="-4.9597024178549276"/>
    <n v="157.80000000000001"/>
    <n v="-4.6261089987325814"/>
    <n v="162.1"/>
    <n v="-150.27078687480088"/>
    <x v="2"/>
  </r>
  <r>
    <s v="Urban"/>
    <x v="3"/>
    <x v="8"/>
    <n v="1990.6000000000001"/>
    <n v="-0.63297498241736694"/>
    <n v="162.80000000000001"/>
    <n v="3.4398034398034349"/>
    <n v="153.30000000000001"/>
    <n v="2.739726027397249"/>
    <n v="150.5"/>
    <n v="2.3255813953488413"/>
    <n v="162.1"/>
    <n v="53.571428571428712"/>
    <x v="2"/>
  </r>
  <r>
    <s v="Rural+Urban"/>
    <x v="3"/>
    <x v="8"/>
    <n v="1978"/>
    <n v="1.0465116279069653"/>
    <n v="168.4"/>
    <n v="2.4346793349168561"/>
    <n v="157.5"/>
    <n v="2.857142857142847"/>
    <n v="154"/>
    <n v="3.5714285714285809"/>
    <n v="162.1"/>
    <n v="-228.15047021943556"/>
    <x v="2"/>
  </r>
  <r>
    <s v="Rural"/>
    <x v="3"/>
    <x v="9"/>
    <n v="1998.6999999999998"/>
    <n v="1.4109170961124962"/>
    <n v="172.5"/>
    <n v="-5.2173913043478297"/>
    <n v="162"/>
    <n v="-4.7530864197530835"/>
    <n v="159.5"/>
    <n v="-4.5768025078369963"/>
    <n v="163.6"/>
    <n v="-150.24481126131795"/>
    <x v="2"/>
  </r>
  <r>
    <s v="Urban"/>
    <x v="3"/>
    <x v="9"/>
    <n v="2026.9000000000003"/>
    <n v="-0.94232571907840734"/>
    <n v="163.5"/>
    <n v="3.425076452599396"/>
    <n v="154.30000000000001"/>
    <n v="2.657161373946848"/>
    <n v="152.19999999999999"/>
    <n v="2.2996057818659654"/>
    <n v="163.6"/>
    <n v="-10.626662996604686"/>
    <x v="2"/>
  </r>
  <r>
    <s v="Rural+Urban"/>
    <x v="3"/>
    <x v="9"/>
    <n v="2007.8000000000002"/>
    <n v="0.33369857555531901"/>
    <n v="169.1"/>
    <n v="2.5428740390301741"/>
    <n v="158.4"/>
    <n v="2.8409090909090828"/>
    <n v="155.69999999999999"/>
    <n v="2.055234425176633"/>
    <n v="163.6"/>
    <n v="-335.7791850220259"/>
    <x v="2"/>
  </r>
  <r>
    <s v="Rural"/>
    <x v="3"/>
    <x v="10"/>
    <n v="2014.5"/>
    <n v="1.4842392653263703"/>
    <n v="173.4"/>
    <n v="-5.3056516724336866"/>
    <n v="162.9"/>
    <n v="-4.7268262737876103"/>
    <n v="158.9"/>
    <n v="-4.8458149779735837"/>
    <n v="164.2"/>
    <n v="-149.13419913419926"/>
    <x v="2"/>
  </r>
  <r>
    <s v="Urban"/>
    <x v="3"/>
    <x v="10"/>
    <n v="2044.3999999999996"/>
    <n v="-0.97828213656817598"/>
    <n v="164.2"/>
    <n v="3.4713763702801659"/>
    <n v="155.19999999999999"/>
    <n v="2.6417525773196004"/>
    <n v="151.19999999999999"/>
    <n v="2.3809523809523947"/>
    <n v="164.2"/>
    <n v="43.798449612402223"/>
    <x v="2"/>
  </r>
  <r>
    <s v="Rural+Urban"/>
    <x v="3"/>
    <x v="10"/>
    <n v="2024.3999999999999"/>
    <n v="-1.0867417506421617"/>
    <n v="169.9"/>
    <n v="2.413184226015308"/>
    <n v="159.30000000000001"/>
    <n v="2.8876333961079581"/>
    <n v="154.80000000000001"/>
    <n v="3.4237726098191201"/>
    <n v="164.2"/>
    <n v="-251.41951374730397"/>
    <x v="2"/>
  </r>
  <r>
    <s v="Rural"/>
    <x v="3"/>
    <x v="11"/>
    <n v="2002.3999999999999"/>
    <n v="1.5831002796644178"/>
    <n v="174"/>
    <n v="-5.1149425287356332"/>
    <n v="163.9"/>
    <n v="-4.8200122025625403"/>
    <n v="160.1"/>
    <n v="-5.1842598376014903"/>
    <n v="163.4"/>
    <n v="-149.55712176770302"/>
    <x v="2"/>
  </r>
  <r>
    <s v="Urban"/>
    <x v="3"/>
    <x v="11"/>
    <n v="2034.1000000000001"/>
    <n v="-1.0520623371515714"/>
    <n v="165.1"/>
    <n v="3.3313143549364099"/>
    <n v="156"/>
    <n v="2.6923076923076827"/>
    <n v="151.80000000000001"/>
    <n v="2.5691699604742935"/>
    <n v="163.4"/>
    <n v="27.493700904106568"/>
    <x v="2"/>
  </r>
  <r>
    <s v="Rural+Urban"/>
    <x v="3"/>
    <x v="11"/>
    <n v="2012.7"/>
    <n v="-1.1824911810006555"/>
    <n v="170.6"/>
    <n v="2.4032825322391593"/>
    <n v="160.19999999999999"/>
    <n v="2.9338327091136263"/>
    <n v="155.69999999999999"/>
    <n v="3.2755298651252485"/>
    <n v="163.4"/>
    <n v="-253.78621597892891"/>
    <x v="2"/>
  </r>
  <r>
    <s v="Rural"/>
    <x v="4"/>
    <x v="0"/>
    <n v="1988.8999999999999"/>
    <n v="1.3826738398109439"/>
    <n v="174.7"/>
    <n v="-4.9227246708643317"/>
    <n v="164.9"/>
    <n v="-4.912067919951479"/>
    <n v="160.80000000000001"/>
    <n v="-5.0373134328358322"/>
    <n v="164.5"/>
    <n v="-149.40211986708402"/>
    <x v="2"/>
  </r>
  <r>
    <s v="Urban"/>
    <x v="4"/>
    <x v="0"/>
    <n v="2016.3999999999996"/>
    <n v="-0.92243602459828322"/>
    <n v="166.1"/>
    <n v="3.1908488862131268"/>
    <n v="156.80000000000001"/>
    <n v="2.7423469387755084"/>
    <n v="152.69999999999999"/>
    <n v="2.4885396201702825"/>
    <n v="164.5"/>
    <n v="20.681015638135889"/>
    <x v="2"/>
  </r>
  <r>
    <s v="Rural+Urban"/>
    <x v="4"/>
    <x v="0"/>
    <n v="1997.8"/>
    <n v="-0.5656221844028364"/>
    <n v="171.4"/>
    <n v="2.2753792298716435"/>
    <n v="161.1"/>
    <n v="2.8553693358162491"/>
    <n v="156.5"/>
    <n v="3.0031948881789061"/>
    <n v="164.5"/>
    <n v="-267.3156116361335"/>
    <x v="2"/>
  </r>
  <r>
    <s v="Rural"/>
    <x v="4"/>
    <x v="1"/>
    <n v="1986.5"/>
    <n v="1.3491064686634857"/>
    <n v="175.3"/>
    <n v="-4.620650313747876"/>
    <n v="165.7"/>
    <n v="-5.0090525045262453"/>
    <n v="161.19999999999999"/>
    <n v="-5.024813895781632"/>
    <n v="165.5"/>
    <n v="-149.39561813064998"/>
    <x v="2"/>
  </r>
  <r>
    <s v="Urban"/>
    <x v="4"/>
    <x v="1"/>
    <n v="2013.3"/>
    <n v="-0.90895544628221137"/>
    <n v="167.2"/>
    <n v="2.9904306220095656"/>
    <n v="157.4"/>
    <n v="2.7954256670902122"/>
    <n v="153.1"/>
    <n v="2.4820378837361323"/>
    <n v="165.5"/>
    <n v="30.960048304316288"/>
    <x v="2"/>
  </r>
  <r>
    <s v="Rural+Urban"/>
    <x v="4"/>
    <x v="1"/>
    <n v="1995.0000000000002"/>
    <n v="0.87719298245614308"/>
    <n v="172.2"/>
    <n v="2.2067363530778206"/>
    <n v="161.80000000000001"/>
    <n v="2.9048207663782355"/>
    <n v="156.9"/>
    <n v="3.2504780114722687"/>
    <n v="165.5"/>
    <n v="-248.1263616557741"/>
    <x v="2"/>
  </r>
  <r>
    <s v="Rural"/>
    <x v="4"/>
    <x v="2"/>
    <n v="2012.5000000000002"/>
    <n v="0.61118012422360923"/>
    <n v="176"/>
    <n v="-4.4318181818181923"/>
    <n v="166.5"/>
    <n v="-4.7447447447447448"/>
    <n v="162"/>
    <n v="-4.8148148148148273"/>
    <n v="165.3"/>
    <n v="-149.8353786291531"/>
    <x v="2"/>
  </r>
  <r>
    <s v="Urban"/>
    <x v="4"/>
    <x v="2"/>
    <n v="2024.8000000000002"/>
    <n v="-0.44448834452784913"/>
    <n v="168.2"/>
    <n v="2.8537455410226009"/>
    <n v="158.6"/>
    <n v="2.6481715006305251"/>
    <n v="154.19999999999999"/>
    <n v="2.399481193255526"/>
    <n v="165.3"/>
    <n v="119.06783287403732"/>
    <x v="2"/>
  </r>
  <r>
    <s v="Rural+Urban"/>
    <x v="4"/>
    <x v="2"/>
    <n v="2015.8000000000002"/>
    <n v="1.1012997321162787"/>
    <n v="173"/>
    <n v="2.3121387283236983"/>
    <n v="162.80000000000001"/>
    <n v="3.0098280098279862"/>
    <n v="157.9"/>
    <n v="5.2564914502849724"/>
    <n v="165.3"/>
    <n v="-178.98090557174538"/>
    <x v="2"/>
  </r>
  <r>
    <s v="Rural"/>
    <x v="4"/>
    <x v="3"/>
    <n v="2038"/>
    <n v="0.87831207065751649"/>
    <n v="177"/>
    <n v="-4.5197740112994378"/>
    <n v="167.7"/>
    <n v="-4.7107930828860889"/>
    <n v="166.2"/>
    <n v="-4.1516245487364429"/>
    <n v="167"/>
    <n v="-149.8976500450342"/>
    <x v="2"/>
  </r>
  <r>
    <s v="Urban"/>
    <x v="4"/>
    <x v="3"/>
    <n v="2055.9"/>
    <n v="-0.60314217617587484"/>
    <n v="169"/>
    <n v="2.9585798816567976"/>
    <n v="159.80000000000001"/>
    <n v="2.6282853566958586"/>
    <n v="159.30000000000001"/>
    <n v="2.0715630885122405"/>
    <n v="167"/>
    <n v="33.59610868835945"/>
    <x v="2"/>
  </r>
  <r>
    <s v="Rural+Urban"/>
    <x v="4"/>
    <x v="3"/>
    <n v="2043.5000000000002"/>
    <n v="0.61169562025935598"/>
    <n v="174"/>
    <n v="2.1264367816091978"/>
    <n v="164"/>
    <n v="2.9878048780487942"/>
    <n v="162.6"/>
    <n v="2.7675276752767486"/>
    <n v="167"/>
    <n v="-266.50309196090183"/>
    <x v="2"/>
  </r>
  <r>
    <s v="Rural"/>
    <x v="4"/>
    <x v="4"/>
    <n v="2056"/>
    <n v="1.3959143968871768"/>
    <n v="177.7"/>
    <n v="-4.2768711311198633"/>
    <n v="168.9"/>
    <n v="-4.6181172291296697"/>
    <n v="167.1"/>
    <n v="-4.6080191502094525"/>
    <n v="167.5"/>
    <n v="-149.01171601297091"/>
    <x v="2"/>
  </r>
  <r>
    <s v="Urban"/>
    <x v="4"/>
    <x v="4"/>
    <n v="2084.7000000000003"/>
    <n v="-0.91619897347339219"/>
    <n v="170.1"/>
    <n v="2.7630805408583203"/>
    <n v="161.1"/>
    <n v="2.5450031036623244"/>
    <n v="159.4"/>
    <n v="2.2584692597239719"/>
    <n v="167.5"/>
    <n v="-32.089297886844506"/>
    <x v="2"/>
  </r>
  <r>
    <s v="Rural+Urban"/>
    <x v="4"/>
    <x v="4"/>
    <n v="2065.6000000000004"/>
    <n v="0.49864446165761578"/>
    <n v="174.8"/>
    <n v="1.9450800915331579"/>
    <n v="165.2"/>
    <n v="3.0871670702179221"/>
    <n v="163"/>
    <n v="1.5337423312883347"/>
    <n v="167.5"/>
    <n v="-426.98489425982132"/>
    <x v="2"/>
  </r>
  <r>
    <s v="Rural"/>
    <x v="4"/>
    <x v="5"/>
    <n v="2075.9"/>
    <n v="1.5559516354352265"/>
    <n v="178.2"/>
    <n v="-4.0965207631874172"/>
    <n v="170.3"/>
    <n v="-4.81503229594834"/>
    <n v="165.5"/>
    <n v="-5.01510574018128"/>
    <n v="166.8"/>
    <n v="-149.46886783776318"/>
    <x v="2"/>
  </r>
  <r>
    <s v="Urban"/>
    <x v="4"/>
    <x v="5"/>
    <n v="2108.1999999999998"/>
    <n v="-1.0055971919172624"/>
    <n v="170.9"/>
    <n v="2.6331187829139902"/>
    <n v="162.1"/>
    <n v="2.6526835286859951"/>
    <n v="157.19999999999999"/>
    <n v="2.4809160305343525"/>
    <n v="166.8"/>
    <n v="30.105524518933024"/>
    <x v="2"/>
  </r>
  <r>
    <s v="Rural+Urban"/>
    <x v="4"/>
    <x v="5"/>
    <n v="2087"/>
    <n v="-0.33540967896502627"/>
    <n v="175.4"/>
    <n v="1.9384264538198526"/>
    <n v="166.4"/>
    <n v="2.9447115384615419"/>
    <n v="161.1"/>
    <n v="3.227808814401012"/>
    <n v="166.8"/>
    <n v="-265.80207225125946"/>
    <x v="2"/>
  </r>
  <r>
    <s v="Rural"/>
    <x v="4"/>
    <x v="6"/>
    <n v="2080"/>
    <n v="1.5480769230769242"/>
    <n v="178.8"/>
    <n v="-3.9709172259507985"/>
    <n v="171.3"/>
    <n v="-4.7869235259778264"/>
    <n v="166.3"/>
    <n v="-5.3517739025856876"/>
    <n v="167.8"/>
    <n v="-149.85937209999557"/>
    <x v="2"/>
  </r>
  <r>
    <s v="Urban"/>
    <x v="4"/>
    <x v="6"/>
    <n v="2112.1999999999998"/>
    <n v="-0.98948963166365367"/>
    <n v="171.7"/>
    <n v="2.5626092020966773"/>
    <n v="163.1"/>
    <n v="2.6364193746168052"/>
    <n v="157.4"/>
    <n v="2.6683608640406531"/>
    <n v="167.8"/>
    <n v="15.953559641678483"/>
    <x v="2"/>
  </r>
  <r>
    <s v="Rural+Urban"/>
    <x v="4"/>
    <x v="6"/>
    <n v="2091.3000000000002"/>
    <n v="-0.44948118395259362"/>
    <n v="176.1"/>
    <n v="1.873935264054527"/>
    <n v="167.4"/>
    <n v="2.9271206690561602"/>
    <n v="161.6"/>
    <n v="3.0940594059405857"/>
    <n v="167.8"/>
    <n v="-272.65786314525855"/>
    <x v="2"/>
  </r>
  <r>
    <s v="Rural"/>
    <x v="4"/>
    <x v="7"/>
    <n v="2081.8999999999996"/>
    <n v="1.5082376675152442"/>
    <n v="179.4"/>
    <n v="-3.7904124860646649"/>
    <n v="172.3"/>
    <n v="-4.7011027278003663"/>
    <n v="166.6"/>
    <n v="-5.3421368547418968"/>
    <n v="169"/>
    <n v="-149.8542959537738"/>
    <x v="2"/>
  </r>
  <r>
    <s v="Urban"/>
    <x v="4"/>
    <x v="7"/>
    <n v="2113.2999999999997"/>
    <n v="-0.96531491032979533"/>
    <n v="172.6"/>
    <n v="2.4333719582850577"/>
    <n v="164.2"/>
    <n v="2.6187576126674772"/>
    <n v="157.69999999999999"/>
    <n v="2.6632847178186481"/>
    <n v="169"/>
    <n v="15.959292920379852"/>
    <x v="2"/>
  </r>
  <r>
    <s v="Rural+Urban"/>
    <x v="4"/>
    <x v="7"/>
    <n v="2092.9"/>
    <n v="-2.8668354914229699E-2"/>
    <n v="176.8"/>
    <n v="1.9230769230769162"/>
    <n v="168.5"/>
    <n v="3.0267062314540016"/>
    <n v="161.9"/>
    <n v="3.0883261272390383"/>
    <n v="169"/>
    <n v="-268.78729778310395"/>
    <x v="2"/>
  </r>
  <r>
    <s v="Rural"/>
    <x v="4"/>
    <x v="8"/>
    <n v="2092.3000000000002"/>
    <n v="1.5437556755723225"/>
    <n v="180.2"/>
    <n v="-3.5516093229744583"/>
    <n v="173.6"/>
    <n v="-4.9539170506912367"/>
    <n v="166.9"/>
    <n v="-5.2127022168963588"/>
    <n v="169.5"/>
    <n v="-149.71809291308855"/>
    <x v="2"/>
  </r>
  <r>
    <s v="Urban"/>
    <x v="4"/>
    <x v="8"/>
    <n v="2124.6"/>
    <n v="-1.0119551915654723"/>
    <n v="173.8"/>
    <n v="2.3014959723820505"/>
    <n v="165"/>
    <n v="2.7272727272727337"/>
    <n v="158.19999999999999"/>
    <n v="2.5916561314791586"/>
    <n v="169.5"/>
    <n v="21.247914882105267"/>
    <x v="2"/>
  </r>
  <r>
    <s v="Rural+Urban"/>
    <x v="4"/>
    <x v="8"/>
    <n v="2103.1"/>
    <n v="0.19019542580001048"/>
    <n v="177.8"/>
    <n v="1.9122609673790647"/>
    <n v="169.5"/>
    <n v="2.8908554572271372"/>
    <n v="162.30000000000001"/>
    <n v="3.1423290203327126"/>
    <n v="169.5"/>
    <n v="-263.49005552041615"/>
    <x v="2"/>
  </r>
  <r>
    <s v="Rural"/>
    <x v="4"/>
    <x v="9"/>
    <n v="2107.1"/>
    <n v="1.513929096862987"/>
    <n v="181.2"/>
    <n v="-3.5871964679911716"/>
    <n v="174.4"/>
    <n v="-4.8165137614678883"/>
    <n v="167.4"/>
    <n v="-5.1373954599761014"/>
    <n v="171.2"/>
    <n v="-150.25628258449979"/>
    <x v="2"/>
  </r>
  <r>
    <s v="Urban"/>
    <x v="4"/>
    <x v="9"/>
    <n v="2139"/>
    <n v="-0.9957924263674478"/>
    <n v="174.7"/>
    <n v="2.2896393817973593"/>
    <n v="166"/>
    <n v="2.6506024096385472"/>
    <n v="158.80000000000001"/>
    <n v="2.581863979848853"/>
    <n v="171.2"/>
    <n v="9.3713036577882427"/>
    <x v="2"/>
  </r>
  <r>
    <s v="Rural+Urban"/>
    <x v="4"/>
    <x v="9"/>
    <n v="2117.7000000000003"/>
    <n v="-0.31165887519480906"/>
    <n v="178.7"/>
    <n v="2.0145495243424794"/>
    <n v="170.4"/>
    <n v="2.9929577464788748"/>
    <n v="162.9"/>
    <n v="2.8238182934315459"/>
    <n v="171.2"/>
    <n v="-281.82219338092176"/>
    <x v="2"/>
  </r>
  <r>
    <s v="Rural"/>
    <x v="4"/>
    <x v="10"/>
    <n v="2111.1"/>
    <n v="1.0421107479513081"/>
    <n v="182.3"/>
    <n v="-3.5655512890839236"/>
    <n v="175.5"/>
    <n v="-4.9002849002849018"/>
    <n v="167.5"/>
    <n v="-5.1343283582089505"/>
    <n v="171.8"/>
    <n v="-150.25465774876716"/>
    <x v="2"/>
  </r>
  <r>
    <s v="Urban"/>
    <x v="4"/>
    <x v="12"/>
    <n v="2133.1"/>
    <n v="-0.68444986170361766"/>
    <n v="175.8"/>
    <n v="2.2753128555176305"/>
    <n v="166.9"/>
    <n v="2.6962252846015611"/>
    <n v="158.9"/>
    <n v="2.5802391441158035"/>
    <n v="171.8"/>
    <n v="14.128385455633573"/>
    <x v="2"/>
  </r>
  <r>
    <s v="Rural+Urban"/>
    <x v="4"/>
    <x v="10"/>
    <n v="2118.5"/>
    <n v="-0.74581071512863639"/>
    <n v="179.8"/>
    <n v="2.0578420467185721"/>
    <n v="171.4"/>
    <n v="2.9171528588098017"/>
    <n v="163"/>
    <n v="2.9447852760736248"/>
    <n v="171.8"/>
    <n v="-269.99404052443384"/>
    <x v="2"/>
  </r>
  <r>
    <s v="Rural"/>
    <x v="4"/>
    <x v="11"/>
    <n v="2102.6999999999998"/>
    <n v="0.68958957530793619"/>
    <n v="183.5"/>
    <n v="-3.4332425068119954"/>
    <n v="176.4"/>
    <n v="-5.1587301587301511"/>
    <n v="167.8"/>
    <n v="-5.0059594755661578"/>
    <n v="170.7"/>
    <n v="-150.12845790762967"/>
    <x v="2"/>
  </r>
  <r>
    <s v="Urban"/>
    <x v="4"/>
    <x v="11"/>
    <n v="2117.1999999999998"/>
    <n v="-0.45815227659171676"/>
    <n v="177.2"/>
    <n v="2.2009029345372522"/>
    <n v="167.3"/>
    <n v="2.8690974297668648"/>
    <n v="159.4"/>
    <n v="2.5094102885821812"/>
    <n v="170.7"/>
    <n v="-4085.0000000000032"/>
    <x v="2"/>
  </r>
  <r>
    <s v="Rural+Urban"/>
    <x v="4"/>
    <x v="11"/>
    <n v="2107.5"/>
    <n v="-100"/>
    <n v="181.1"/>
    <n v="-100"/>
    <n v="172.1"/>
    <n v="-100"/>
    <n v="163.4"/>
    <n v="-100"/>
    <n v="170.7"/>
    <n v="-1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05B58-D85F-4942-BFDC-66A00BEA5C3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3:I23" firstHeaderRow="0" firstDataRow="1" firstDataCol="1"/>
  <pivotFields count="4">
    <pivotField axis="axisRow" showAll="0">
      <items count="10">
        <item x="1"/>
        <item x="2"/>
        <item x="6"/>
        <item x="4"/>
        <item x="0"/>
        <item x="5"/>
        <item x="3"/>
        <item x="8"/>
        <item x="7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% of Rural" fld="1" showDataAs="percentOfCol" baseField="0" baseItem="0" numFmtId="10"/>
    <dataField name="% of Urban" fld="2" showDataAs="percentOfCol" baseField="0" baseItem="0" numFmtId="10"/>
    <dataField name="% of Rural+Urban" fld="3" showDataAs="percentOfCol" baseField="0" baseItem="0" numFmtId="10"/>
  </dataFields>
  <formats count="2"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11883-3B9D-4496-9EB9-9BAC4844076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55" firstHeaderRow="1" firstDataRow="1" firstDataCol="1"/>
  <pivotFields count="28">
    <pivotField showAll="0"/>
    <pivotField showAll="0"/>
    <pivotField axis="axisRow" showAll="0">
      <items count="14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Total Food Inflation(To calculate month with highest and lowest Food inflation)" fld="27" subtotal="average" baseField="2" baseItem="0"/>
  </dataFields>
  <formats count="5"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field="2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5586A-49D7-445B-AF7E-EC992E99A31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U19" firstHeaderRow="1" firstDataRow="3" firstDataCol="1" rowPageCount="1" colPageCount="1"/>
  <pivotFields count="14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axis="axisCol" showAll="0">
      <items count="4">
        <item x="2"/>
        <item x="0"/>
        <item x="1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3"/>
    <field x="-2"/>
  </colFields>
  <colItems count="20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pageFields count="1">
    <pageField fld="1" hier="-1"/>
  </pageFields>
  <dataFields count="5">
    <dataField name="Average of M-O-M Food category" fld="4" subtotal="average" baseField="2" baseItem="0"/>
    <dataField name="Average of M-O-M Health" fld="6" subtotal="average" baseField="2" baseItem="0"/>
    <dataField name="Average of M-O-M Housing goods and services" fld="8" subtotal="average" baseField="2" baseItem="0"/>
    <dataField name="Average of M-O-M Transport and Communication" fld="10" subtotal="average" baseField="2" baseItem="0"/>
    <dataField name="Average of M-O-M Housing" fld="1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topLeftCell="A345" workbookViewId="0">
      <selection sqref="A1:C373"/>
    </sheetView>
  </sheetViews>
  <sheetFormatPr defaultRowHeight="14.4" x14ac:dyDescent="0.55000000000000004"/>
  <cols>
    <col min="1" max="1" width="10.62890625" bestFit="1" customWidth="1"/>
    <col min="2" max="2" width="9.20703125" style="1" customWidth="1"/>
    <col min="3" max="3" width="10.47265625" bestFit="1" customWidth="1"/>
    <col min="4" max="4" width="21.68359375" customWidth="1"/>
    <col min="5" max="5" width="15.83984375" bestFit="1" customWidth="1"/>
    <col min="6" max="6" width="5.68359375" bestFit="1" customWidth="1"/>
    <col min="7" max="7" width="17.1015625" bestFit="1" customWidth="1"/>
    <col min="8" max="8" width="12.47265625" bestFit="1" customWidth="1"/>
    <col min="9" max="9" width="7.26171875" bestFit="1" customWidth="1"/>
    <col min="10" max="10" width="11.47265625" bestFit="1" customWidth="1"/>
    <col min="11" max="11" width="18.5234375" bestFit="1" customWidth="1"/>
    <col min="12" max="12" width="22.3125" bestFit="1" customWidth="1"/>
    <col min="13" max="13" width="7.734375" bestFit="1" customWidth="1"/>
    <col min="14" max="14" width="22.3125" bestFit="1" customWidth="1"/>
    <col min="15" max="15" width="31" bestFit="1" customWidth="1"/>
    <col min="16" max="16" width="18.734375" bestFit="1" customWidth="1"/>
    <col min="17" max="17" width="25.578125" bestFit="1" customWidth="1"/>
    <col min="18" max="18" width="9.3671875" bestFit="1" customWidth="1"/>
    <col min="19" max="19" width="10.47265625" bestFit="1" customWidth="1"/>
    <col min="20" max="20" width="20.5234375" bestFit="1" customWidth="1"/>
    <col min="21" max="21" width="9.20703125" bestFit="1" customWidth="1"/>
    <col min="22" max="22" width="13.3125" bestFit="1" customWidth="1"/>
    <col min="23" max="23" width="26.62890625" bestFit="1" customWidth="1"/>
    <col min="24" max="24" width="8.05078125" bestFit="1" customWidth="1"/>
    <col min="25" max="25" width="26.89453125" bestFit="1" customWidth="1"/>
    <col min="26" max="26" width="24.734375" bestFit="1" customWidth="1"/>
    <col min="27" max="27" width="10.734375" bestFit="1" customWidth="1"/>
    <col min="28" max="28" width="22.68359375" bestFit="1" customWidth="1"/>
    <col min="29" max="29" width="14.05078125" bestFit="1" customWidth="1"/>
    <col min="30" max="30" width="13.68359375" bestFit="1" customWidth="1"/>
  </cols>
  <sheetData>
    <row r="1" spans="1:3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55000000000000004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x14ac:dyDescent="0.55000000000000004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x14ac:dyDescent="0.55000000000000004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x14ac:dyDescent="0.55000000000000004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x14ac:dyDescent="0.55000000000000004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x14ac:dyDescent="0.55000000000000004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x14ac:dyDescent="0.55000000000000004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x14ac:dyDescent="0.55000000000000004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x14ac:dyDescent="0.55000000000000004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x14ac:dyDescent="0.55000000000000004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x14ac:dyDescent="0.55000000000000004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x14ac:dyDescent="0.55000000000000004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x14ac:dyDescent="0.55000000000000004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x14ac:dyDescent="0.55000000000000004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x14ac:dyDescent="0.55000000000000004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55000000000000004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55000000000000004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55000000000000004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55000000000000004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55000000000000004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55000000000000004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55000000000000004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55000000000000004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55000000000000004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55000000000000004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55000000000000004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55000000000000004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55000000000000004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55000000000000004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55000000000000004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55000000000000004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55000000000000004">
      <c r="A33" s="1" t="s">
        <v>33</v>
      </c>
      <c r="B33" s="1">
        <v>2013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55000000000000004">
      <c r="A34" s="1" t="s">
        <v>34</v>
      </c>
      <c r="B34" s="1">
        <v>2013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55000000000000004">
      <c r="A35" s="1" t="s">
        <v>30</v>
      </c>
      <c r="B35" s="1">
        <v>2013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55000000000000004">
      <c r="A36" s="1" t="s">
        <v>33</v>
      </c>
      <c r="B36" s="1">
        <v>2013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55000000000000004">
      <c r="A37" s="1" t="s">
        <v>34</v>
      </c>
      <c r="B37" s="1">
        <v>2013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55000000000000004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55000000000000004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55000000000000004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55000000000000004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55000000000000004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55000000000000004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55000000000000004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55000000000000004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55000000000000004">
      <c r="A46" s="1" t="s">
        <v>34</v>
      </c>
      <c r="B46" s="1">
        <v>2014</v>
      </c>
      <c r="C46" s="1" t="s">
        <v>47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55000000000000004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55000000000000004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55000000000000004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55000000000000004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55000000000000004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55000000000000004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55000000000000004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55000000000000004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55000000000000004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55000000000000004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55000000000000004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55000000000000004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55000000000000004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55000000000000004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55000000000000004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55000000000000004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55000000000000004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55000000000000004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55000000000000004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55000000000000004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55000000000000004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55000000000000004">
      <c r="A68" s="1" t="s">
        <v>30</v>
      </c>
      <c r="B68" s="1">
        <v>2014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55000000000000004">
      <c r="A69" s="1" t="s">
        <v>33</v>
      </c>
      <c r="B69" s="1">
        <v>2014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55000000000000004">
      <c r="A70" s="1" t="s">
        <v>34</v>
      </c>
      <c r="B70" s="1">
        <v>2014</v>
      </c>
      <c r="C70" s="1" t="s">
        <v>45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55000000000000004">
      <c r="A71" s="1" t="s">
        <v>30</v>
      </c>
      <c r="B71" s="1">
        <v>2014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55000000000000004">
      <c r="A72" s="1" t="s">
        <v>33</v>
      </c>
      <c r="B72" s="1">
        <v>2014</v>
      </c>
      <c r="C72" s="1" t="s">
        <v>46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55000000000000004">
      <c r="A73" s="1" t="s">
        <v>34</v>
      </c>
      <c r="B73" s="1">
        <v>2014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55000000000000004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55000000000000004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55000000000000004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55000000000000004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55000000000000004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55000000000000004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55000000000000004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55000000000000004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55000000000000004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55000000000000004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55000000000000004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55000000000000004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55000000000000004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55000000000000004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55000000000000004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55000000000000004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55000000000000004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55000000000000004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55000000000000004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55000000000000004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55000000000000004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55000000000000004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55000000000000004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55000000000000004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55000000000000004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55000000000000004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55000000000000004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55000000000000004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55000000000000004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55000000000000004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55000000000000004">
      <c r="A104" s="1" t="s">
        <v>30</v>
      </c>
      <c r="B104" s="1">
        <v>2015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55000000000000004">
      <c r="A105" s="1" t="s">
        <v>33</v>
      </c>
      <c r="B105" s="1">
        <v>2015</v>
      </c>
      <c r="C105" s="1" t="s">
        <v>45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55000000000000004">
      <c r="A106" s="1" t="s">
        <v>34</v>
      </c>
      <c r="B106" s="1">
        <v>2015</v>
      </c>
      <c r="C106" s="1" t="s">
        <v>45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55000000000000004">
      <c r="A107" s="1" t="s">
        <v>30</v>
      </c>
      <c r="B107" s="1">
        <v>2015</v>
      </c>
      <c r="C107" s="1" t="s">
        <v>46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55000000000000004">
      <c r="A108" s="1" t="s">
        <v>33</v>
      </c>
      <c r="B108" s="1">
        <v>2015</v>
      </c>
      <c r="C108" s="1" t="s">
        <v>46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55000000000000004">
      <c r="A109" s="1" t="s">
        <v>34</v>
      </c>
      <c r="B109" s="1">
        <v>2015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55000000000000004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55000000000000004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55000000000000004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55000000000000004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55000000000000004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55000000000000004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55000000000000004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55000000000000004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55000000000000004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55000000000000004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55000000000000004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55000000000000004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55000000000000004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55000000000000004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55000000000000004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55000000000000004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55000000000000004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55000000000000004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55000000000000004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55000000000000004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55000000000000004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55000000000000004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55000000000000004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55000000000000004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55000000000000004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55000000000000004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55000000000000004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55000000000000004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55000000000000004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55000000000000004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55000000000000004">
      <c r="A140" s="1" t="s">
        <v>30</v>
      </c>
      <c r="B140" s="1">
        <v>2016</v>
      </c>
      <c r="C140" s="1" t="s">
        <v>45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55000000000000004">
      <c r="A141" s="1" t="s">
        <v>33</v>
      </c>
      <c r="B141" s="1">
        <v>2016</v>
      </c>
      <c r="C141" s="1" t="s">
        <v>45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55000000000000004">
      <c r="A142" s="1" t="s">
        <v>34</v>
      </c>
      <c r="B142" s="1">
        <v>2016</v>
      </c>
      <c r="C142" s="1" t="s">
        <v>45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55000000000000004">
      <c r="A143" s="1" t="s">
        <v>30</v>
      </c>
      <c r="B143" s="1">
        <v>2016</v>
      </c>
      <c r="C143" s="1" t="s">
        <v>46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55000000000000004">
      <c r="A144" s="1" t="s">
        <v>33</v>
      </c>
      <c r="B144" s="1">
        <v>2016</v>
      </c>
      <c r="C144" s="1" t="s">
        <v>46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55000000000000004">
      <c r="A145" s="1" t="s">
        <v>34</v>
      </c>
      <c r="B145" s="1">
        <v>2016</v>
      </c>
      <c r="C145" s="1" t="s">
        <v>46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55000000000000004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55000000000000004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55000000000000004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55000000000000004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55000000000000004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55000000000000004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55000000000000004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55000000000000004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55000000000000004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55000000000000004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55000000000000004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55000000000000004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55000000000000004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55000000000000004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55000000000000004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55000000000000004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55000000000000004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55000000000000004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55000000000000004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55000000000000004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55000000000000004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55000000000000004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55000000000000004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55000000000000004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55000000000000004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55000000000000004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55000000000000004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55000000000000004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55000000000000004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55000000000000004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55000000000000004">
      <c r="A176" s="1" t="s">
        <v>30</v>
      </c>
      <c r="B176" s="1">
        <v>2017</v>
      </c>
      <c r="C176" s="1" t="s">
        <v>45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55000000000000004">
      <c r="A177" s="1" t="s">
        <v>33</v>
      </c>
      <c r="B177" s="1">
        <v>2017</v>
      </c>
      <c r="C177" s="1" t="s">
        <v>45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55000000000000004">
      <c r="A178" s="1" t="s">
        <v>34</v>
      </c>
      <c r="B178" s="1">
        <v>2017</v>
      </c>
      <c r="C178" s="1" t="s">
        <v>45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55000000000000004">
      <c r="A179" s="1" t="s">
        <v>30</v>
      </c>
      <c r="B179" s="1">
        <v>2017</v>
      </c>
      <c r="C179" s="1" t="s">
        <v>46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55000000000000004">
      <c r="A180" s="1" t="s">
        <v>33</v>
      </c>
      <c r="B180" s="1">
        <v>2017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55000000000000004">
      <c r="A181" s="1" t="s">
        <v>34</v>
      </c>
      <c r="B181" s="1">
        <v>2017</v>
      </c>
      <c r="C181" s="1" t="s">
        <v>46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55000000000000004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55000000000000004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55000000000000004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55000000000000004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55000000000000004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55000000000000004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55000000000000004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55000000000000004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55000000000000004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55000000000000004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55000000000000004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55000000000000004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55000000000000004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55000000000000004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55000000000000004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55000000000000004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55000000000000004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55000000000000004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55000000000000004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55000000000000004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55000000000000004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55000000000000004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55000000000000004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55000000000000004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55000000000000004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55000000000000004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55000000000000004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55000000000000004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55000000000000004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55000000000000004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55000000000000004">
      <c r="A212" s="1" t="s">
        <v>30</v>
      </c>
      <c r="B212" s="1">
        <v>2018</v>
      </c>
      <c r="C212" s="1" t="s">
        <v>45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55000000000000004">
      <c r="A213" s="1" t="s">
        <v>33</v>
      </c>
      <c r="B213" s="1">
        <v>2018</v>
      </c>
      <c r="C213" s="1" t="s">
        <v>45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55000000000000004">
      <c r="A214" s="1" t="s">
        <v>34</v>
      </c>
      <c r="B214" s="1">
        <v>2018</v>
      </c>
      <c r="C214" s="1" t="s">
        <v>45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55000000000000004">
      <c r="A215" s="1" t="s">
        <v>30</v>
      </c>
      <c r="B215" s="1">
        <v>2018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55000000000000004">
      <c r="A216" s="1" t="s">
        <v>33</v>
      </c>
      <c r="B216" s="1">
        <v>2018</v>
      </c>
      <c r="C216" s="1" t="s">
        <v>46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55000000000000004">
      <c r="A217" s="1" t="s">
        <v>34</v>
      </c>
      <c r="B217" s="1">
        <v>2018</v>
      </c>
      <c r="C217" s="1" t="s">
        <v>46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55000000000000004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55000000000000004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55000000000000004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55000000000000004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55000000000000004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55000000000000004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55000000000000004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55000000000000004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55000000000000004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55000000000000004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55000000000000004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55000000000000004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55000000000000004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55000000000000004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55000000000000004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55000000000000004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55000000000000004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55000000000000004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55000000000000004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55000000000000004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55000000000000004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55000000000000004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55000000000000004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55000000000000004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55000000000000004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55000000000000004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55000000000000004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55000000000000004">
      <c r="A245" s="1" t="s">
        <v>30</v>
      </c>
      <c r="B245" s="1">
        <v>2019</v>
      </c>
      <c r="C245" s="1" t="s">
        <v>45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55000000000000004">
      <c r="A246" s="1" t="s">
        <v>33</v>
      </c>
      <c r="B246" s="1">
        <v>2019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55000000000000004">
      <c r="A247" s="1" t="s">
        <v>34</v>
      </c>
      <c r="B247" s="1">
        <v>2019</v>
      </c>
      <c r="C247" s="1" t="s">
        <v>45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55000000000000004">
      <c r="A248" s="1" t="s">
        <v>30</v>
      </c>
      <c r="B248" s="1">
        <v>2019</v>
      </c>
      <c r="C248" s="1" t="s">
        <v>46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55000000000000004">
      <c r="A249" s="1" t="s">
        <v>33</v>
      </c>
      <c r="B249" s="1">
        <v>2019</v>
      </c>
      <c r="C249" s="1" t="s">
        <v>46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55000000000000004">
      <c r="A250" s="1" t="s">
        <v>34</v>
      </c>
      <c r="B250" s="1">
        <v>2019</v>
      </c>
      <c r="C250" s="1" t="s">
        <v>46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55000000000000004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55000000000000004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55000000000000004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55000000000000004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55000000000000004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55000000000000004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55000000000000004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55000000000000004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55000000000000004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55000000000000004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x14ac:dyDescent="0.55000000000000004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x14ac:dyDescent="0.55000000000000004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x14ac:dyDescent="0.55000000000000004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x14ac:dyDescent="0.55000000000000004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x14ac:dyDescent="0.55000000000000004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x14ac:dyDescent="0.55000000000000004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55000000000000004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55000000000000004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55000000000000004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55000000000000004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55000000000000004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55000000000000004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55000000000000004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55000000000000004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55000000000000004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55000000000000004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55000000000000004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55000000000000004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55000000000000004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55000000000000004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55000000000000004">
      <c r="A281" s="1" t="s">
        <v>30</v>
      </c>
      <c r="B281" s="1">
        <v>2020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55000000000000004">
      <c r="A282" s="1" t="s">
        <v>33</v>
      </c>
      <c r="B282" s="1">
        <v>2020</v>
      </c>
      <c r="C282" s="1" t="s">
        <v>45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55000000000000004">
      <c r="A283" s="1" t="s">
        <v>34</v>
      </c>
      <c r="B283" s="1">
        <v>2020</v>
      </c>
      <c r="C283" s="1" t="s">
        <v>45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55000000000000004">
      <c r="A284" s="1" t="s">
        <v>30</v>
      </c>
      <c r="B284" s="1">
        <v>2020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55000000000000004">
      <c r="A285" s="1" t="s">
        <v>33</v>
      </c>
      <c r="B285" s="1">
        <v>2020</v>
      </c>
      <c r="C285" s="1" t="s">
        <v>46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55000000000000004">
      <c r="A286" s="1" t="s">
        <v>34</v>
      </c>
      <c r="B286" s="1">
        <v>2020</v>
      </c>
      <c r="C286" s="1" t="s">
        <v>46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55000000000000004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55000000000000004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55000000000000004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55000000000000004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55000000000000004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55000000000000004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55000000000000004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48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55000000000000004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55000000000000004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55000000000000004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48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55000000000000004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55000000000000004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55000000000000004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55000000000000004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55000000000000004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55000000000000004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55000000000000004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55000000000000004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55000000000000004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55000000000000004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55000000000000004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55000000000000004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55000000000000004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55000000000000004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55000000000000004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55000000000000004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55000000000000004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55000000000000004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55000000000000004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55000000000000004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55000000000000004">
      <c r="A317" s="1" t="s">
        <v>30</v>
      </c>
      <c r="B317" s="1">
        <v>2021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55000000000000004">
      <c r="A318" s="1" t="s">
        <v>33</v>
      </c>
      <c r="B318" s="1">
        <v>2021</v>
      </c>
      <c r="C318" s="1" t="s">
        <v>45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55000000000000004">
      <c r="A319" s="1" t="s">
        <v>34</v>
      </c>
      <c r="B319" s="1">
        <v>2021</v>
      </c>
      <c r="C319" s="1" t="s">
        <v>45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55000000000000004">
      <c r="A320" s="1" t="s">
        <v>30</v>
      </c>
      <c r="B320" s="1">
        <v>2021</v>
      </c>
      <c r="C320" s="1" t="s">
        <v>46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55000000000000004">
      <c r="A321" s="1" t="s">
        <v>33</v>
      </c>
      <c r="B321" s="1">
        <v>2021</v>
      </c>
      <c r="C321" s="1" t="s">
        <v>46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55000000000000004">
      <c r="A322" s="1" t="s">
        <v>34</v>
      </c>
      <c r="B322" s="1">
        <v>2021</v>
      </c>
      <c r="C322" s="1" t="s">
        <v>46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55000000000000004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55000000000000004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55000000000000004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55000000000000004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55000000000000004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55000000000000004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55000000000000004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55000000000000004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55000000000000004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55000000000000004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55000000000000004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55000000000000004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55000000000000004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55000000000000004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55000000000000004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55000000000000004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55000000000000004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55000000000000004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55000000000000004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55000000000000004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55000000000000004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55000000000000004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55000000000000004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55000000000000004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55000000000000004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55000000000000004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55000000000000004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55000000000000004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55000000000000004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55000000000000004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55000000000000004">
      <c r="A353" s="1" t="s">
        <v>30</v>
      </c>
      <c r="B353" s="1">
        <v>2022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55000000000000004">
      <c r="A354" s="1" t="s">
        <v>33</v>
      </c>
      <c r="B354" s="1">
        <v>2022</v>
      </c>
      <c r="C354" s="1" t="s">
        <v>80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55000000000000004">
      <c r="A355" s="1" t="s">
        <v>34</v>
      </c>
      <c r="B355" s="1">
        <v>2022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55000000000000004">
      <c r="A356" s="1" t="s">
        <v>30</v>
      </c>
      <c r="B356" s="1">
        <v>2022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55000000000000004">
      <c r="A357" s="1" t="s">
        <v>33</v>
      </c>
      <c r="B357" s="1">
        <v>2022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55000000000000004">
      <c r="A358" s="1" t="s">
        <v>34</v>
      </c>
      <c r="B358" s="1">
        <v>2022</v>
      </c>
      <c r="C358" s="1" t="s">
        <v>46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55000000000000004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55000000000000004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55000000000000004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55000000000000004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55000000000000004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55000000000000004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55000000000000004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55000000000000004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55000000000000004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55000000000000004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48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55000000000000004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55000000000000004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55000000000000004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48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55000000000000004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55000000000000004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autoFilter ref="A1:AD373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7219-0ACF-43F3-82C1-8CF77D3345CF}">
  <dimension ref="A1:AE373"/>
  <sheetViews>
    <sheetView topLeftCell="P1" workbookViewId="0">
      <selection activeCell="U1" sqref="U1:U1048576"/>
    </sheetView>
  </sheetViews>
  <sheetFormatPr defaultRowHeight="14.4" x14ac:dyDescent="0.55000000000000004"/>
  <cols>
    <col min="1" max="1" width="10.62890625" bestFit="1" customWidth="1"/>
    <col min="2" max="2" width="8.62890625" bestFit="1" customWidth="1"/>
    <col min="3" max="3" width="10.47265625" bestFit="1" customWidth="1"/>
    <col min="4" max="4" width="21.68359375" bestFit="1" customWidth="1"/>
    <col min="5" max="5" width="15.83984375" bestFit="1" customWidth="1"/>
    <col min="6" max="6" width="7.83984375" bestFit="1" customWidth="1"/>
    <col min="7" max="7" width="19.3125" bestFit="1" customWidth="1"/>
    <col min="8" max="8" width="14.68359375" bestFit="1" customWidth="1"/>
    <col min="9" max="9" width="9.47265625" bestFit="1" customWidth="1"/>
    <col min="10" max="10" width="13.68359375" bestFit="1" customWidth="1"/>
    <col min="11" max="11" width="20.734375" bestFit="1" customWidth="1"/>
    <col min="12" max="12" width="24.5234375" bestFit="1" customWidth="1"/>
    <col min="13" max="13" width="9.9453125" bestFit="1" customWidth="1"/>
    <col min="14" max="14" width="24.5234375" bestFit="1" customWidth="1"/>
    <col min="15" max="15" width="33.20703125" bestFit="1" customWidth="1"/>
    <col min="16" max="16" width="20.9453125" bestFit="1" customWidth="1"/>
    <col min="17" max="17" width="27.7890625" bestFit="1" customWidth="1"/>
    <col min="18" max="18" width="11.578125" bestFit="1" customWidth="1"/>
    <col min="19" max="19" width="12.68359375" bestFit="1" customWidth="1"/>
    <col min="20" max="20" width="22.734375" bestFit="1" customWidth="1"/>
    <col min="21" max="21" width="11.41796875" bestFit="1" customWidth="1"/>
    <col min="22" max="22" width="15.5234375" bestFit="1" customWidth="1"/>
    <col min="23" max="23" width="28.83984375" bestFit="1" customWidth="1"/>
    <col min="24" max="24" width="10.26171875" bestFit="1" customWidth="1"/>
    <col min="25" max="25" width="29.1015625" bestFit="1" customWidth="1"/>
    <col min="26" max="26" width="26.9453125" bestFit="1" customWidth="1"/>
    <col min="27" max="27" width="12.9453125" bestFit="1" customWidth="1"/>
    <col min="28" max="28" width="24.89453125" customWidth="1"/>
    <col min="29" max="29" width="16.26171875" customWidth="1"/>
    <col min="30" max="30" width="15.89453125" customWidth="1"/>
    <col min="31" max="31" width="20.89453125" style="1" bestFit="1" customWidth="1"/>
  </cols>
  <sheetData>
    <row r="1" spans="1:3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5" t="s">
        <v>148</v>
      </c>
    </row>
    <row r="2" spans="1:31" x14ac:dyDescent="0.55000000000000004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  <c r="AE2" s="1">
        <f>SUM(D2:O2)</f>
        <v>1266.1999999999998</v>
      </c>
    </row>
    <row r="3" spans="1:31" x14ac:dyDescent="0.55000000000000004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  <c r="AE3" s="1">
        <f t="shared" ref="AE3:AE66" si="0">SUM(D3:O3)</f>
        <v>1270.5</v>
      </c>
    </row>
    <row r="4" spans="1:31" x14ac:dyDescent="0.55000000000000004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  <c r="AE4" s="1">
        <f t="shared" si="0"/>
        <v>1267.7000000000003</v>
      </c>
    </row>
    <row r="5" spans="1:31" x14ac:dyDescent="0.55000000000000004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  <c r="AE5" s="1">
        <f t="shared" si="0"/>
        <v>1274.0999999999999</v>
      </c>
    </row>
    <row r="6" spans="1:31" x14ac:dyDescent="0.55000000000000004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  <c r="AE6" s="1">
        <f t="shared" si="0"/>
        <v>1283.4000000000001</v>
      </c>
    </row>
    <row r="7" spans="1:31" x14ac:dyDescent="0.55000000000000004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  <c r="AE7" s="1">
        <f t="shared" si="0"/>
        <v>1277.6000000000001</v>
      </c>
    </row>
    <row r="8" spans="1:31" x14ac:dyDescent="0.55000000000000004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  <c r="AE8" s="1">
        <f t="shared" si="0"/>
        <v>1275.6000000000001</v>
      </c>
    </row>
    <row r="9" spans="1:31" x14ac:dyDescent="0.55000000000000004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  <c r="AE9" s="1">
        <f t="shared" si="0"/>
        <v>1279.5</v>
      </c>
    </row>
    <row r="10" spans="1:31" x14ac:dyDescent="0.55000000000000004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  <c r="AE10" s="1">
        <f t="shared" si="0"/>
        <v>1277.1000000000001</v>
      </c>
    </row>
    <row r="11" spans="1:31" x14ac:dyDescent="0.55000000000000004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  <c r="AE11" s="1">
        <f t="shared" si="0"/>
        <v>1278.7</v>
      </c>
    </row>
    <row r="12" spans="1:31" x14ac:dyDescent="0.55000000000000004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  <c r="AE12" s="1">
        <f t="shared" si="0"/>
        <v>1288.8999999999999</v>
      </c>
    </row>
    <row r="13" spans="1:31" x14ac:dyDescent="0.55000000000000004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  <c r="AE13" s="1">
        <f t="shared" si="0"/>
        <v>1282.5</v>
      </c>
    </row>
    <row r="14" spans="1:31" x14ac:dyDescent="0.55000000000000004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  <c r="AE14" s="1">
        <f t="shared" si="0"/>
        <v>1285.9000000000001</v>
      </c>
    </row>
    <row r="15" spans="1:31" x14ac:dyDescent="0.55000000000000004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  <c r="AE15" s="1">
        <f t="shared" si="0"/>
        <v>1306.0999999999999</v>
      </c>
    </row>
    <row r="16" spans="1:31" x14ac:dyDescent="0.55000000000000004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  <c r="AE16" s="1">
        <f t="shared" si="0"/>
        <v>1292.9999999999998</v>
      </c>
    </row>
    <row r="17" spans="1:31" x14ac:dyDescent="0.55000000000000004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  <c r="AE17" s="1">
        <f t="shared" si="0"/>
        <v>1309.4000000000001</v>
      </c>
    </row>
    <row r="18" spans="1:31" x14ac:dyDescent="0.55000000000000004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  <c r="AE18" s="1">
        <f t="shared" si="0"/>
        <v>1349.6000000000001</v>
      </c>
    </row>
    <row r="19" spans="1:31" x14ac:dyDescent="0.55000000000000004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  <c r="AE19" s="1">
        <f t="shared" si="0"/>
        <v>1323.8</v>
      </c>
    </row>
    <row r="20" spans="1:31" x14ac:dyDescent="0.55000000000000004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  <c r="AE20" s="1">
        <f t="shared" si="0"/>
        <v>1332.7999999999997</v>
      </c>
    </row>
    <row r="21" spans="1:31" x14ac:dyDescent="0.55000000000000004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  <c r="AE21" s="1">
        <f t="shared" si="0"/>
        <v>1371.9</v>
      </c>
    </row>
    <row r="22" spans="1:31" x14ac:dyDescent="0.55000000000000004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  <c r="AE22" s="1">
        <f t="shared" si="0"/>
        <v>1346.6999999999998</v>
      </c>
    </row>
    <row r="23" spans="1:31" x14ac:dyDescent="0.55000000000000004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  <c r="AE23" s="1">
        <f t="shared" si="0"/>
        <v>1347.6</v>
      </c>
    </row>
    <row r="24" spans="1:31" x14ac:dyDescent="0.55000000000000004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  <c r="AE24" s="1">
        <f t="shared" si="0"/>
        <v>1386.5000000000002</v>
      </c>
    </row>
    <row r="25" spans="1:31" x14ac:dyDescent="0.55000000000000004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  <c r="AE25" s="1">
        <f t="shared" si="0"/>
        <v>1360.8000000000002</v>
      </c>
    </row>
    <row r="26" spans="1:31" x14ac:dyDescent="0.55000000000000004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  <c r="AE26" s="1">
        <f t="shared" si="0"/>
        <v>1370.7000000000003</v>
      </c>
    </row>
    <row r="27" spans="1:31" x14ac:dyDescent="0.55000000000000004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  <c r="AE27" s="1">
        <f t="shared" si="0"/>
        <v>1381.2</v>
      </c>
    </row>
    <row r="28" spans="1:31" x14ac:dyDescent="0.55000000000000004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  <c r="AE28" s="1">
        <f t="shared" si="0"/>
        <v>1373.3999999999999</v>
      </c>
    </row>
    <row r="29" spans="1:31" x14ac:dyDescent="0.55000000000000004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  <c r="AE29" s="1">
        <f t="shared" si="0"/>
        <v>1388.2</v>
      </c>
    </row>
    <row r="30" spans="1:31" x14ac:dyDescent="0.55000000000000004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  <c r="AE30" s="1">
        <f t="shared" si="0"/>
        <v>1396.3999999999999</v>
      </c>
    </row>
    <row r="31" spans="1:31" x14ac:dyDescent="0.55000000000000004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  <c r="AE31" s="1">
        <f t="shared" si="0"/>
        <v>1390.0000000000002</v>
      </c>
    </row>
    <row r="32" spans="1:31" x14ac:dyDescent="0.55000000000000004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  <c r="AE32" s="1">
        <f t="shared" si="0"/>
        <v>1414.3</v>
      </c>
    </row>
    <row r="33" spans="1:31" x14ac:dyDescent="0.55000000000000004">
      <c r="A33" s="1" t="s">
        <v>33</v>
      </c>
      <c r="B33" s="1">
        <v>2013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  <c r="AE33" s="1">
        <f t="shared" si="0"/>
        <v>1421.6999999999998</v>
      </c>
    </row>
    <row r="34" spans="1:31" x14ac:dyDescent="0.55000000000000004">
      <c r="A34" s="1" t="s">
        <v>34</v>
      </c>
      <c r="B34" s="1">
        <v>2013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  <c r="AE34" s="1">
        <f t="shared" si="0"/>
        <v>1416.2</v>
      </c>
    </row>
    <row r="35" spans="1:31" x14ac:dyDescent="0.55000000000000004">
      <c r="A35" s="1" t="s">
        <v>30</v>
      </c>
      <c r="B35" s="1">
        <v>2013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  <c r="AE35" s="1">
        <f t="shared" si="0"/>
        <v>1390.3</v>
      </c>
    </row>
    <row r="36" spans="1:31" x14ac:dyDescent="0.55000000000000004">
      <c r="A36" s="1" t="s">
        <v>33</v>
      </c>
      <c r="B36" s="1">
        <v>2013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  <c r="AE36" s="1">
        <f t="shared" si="0"/>
        <v>1386.6000000000001</v>
      </c>
    </row>
    <row r="37" spans="1:31" x14ac:dyDescent="0.55000000000000004">
      <c r="A37" s="1" t="s">
        <v>34</v>
      </c>
      <c r="B37" s="1">
        <v>2013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  <c r="AE37" s="1">
        <f t="shared" si="0"/>
        <v>1388.9</v>
      </c>
    </row>
    <row r="38" spans="1:31" x14ac:dyDescent="0.55000000000000004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  <c r="AE38" s="1">
        <f t="shared" si="0"/>
        <v>1370.6000000000001</v>
      </c>
    </row>
    <row r="39" spans="1:31" x14ac:dyDescent="0.55000000000000004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  <c r="AE39" s="1">
        <f t="shared" si="0"/>
        <v>1368.8</v>
      </c>
    </row>
    <row r="40" spans="1:31" x14ac:dyDescent="0.55000000000000004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  <c r="AE40" s="1">
        <f t="shared" si="0"/>
        <v>1369.9999999999998</v>
      </c>
    </row>
    <row r="41" spans="1:31" x14ac:dyDescent="0.55000000000000004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  <c r="AE41" s="1">
        <f t="shared" si="0"/>
        <v>1366.9</v>
      </c>
    </row>
    <row r="42" spans="1:31" x14ac:dyDescent="0.55000000000000004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  <c r="AE42" s="1">
        <f t="shared" si="0"/>
        <v>1360.8</v>
      </c>
    </row>
    <row r="43" spans="1:31" x14ac:dyDescent="0.55000000000000004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  <c r="AE43" s="1">
        <f t="shared" si="0"/>
        <v>1364.8</v>
      </c>
    </row>
    <row r="44" spans="1:31" x14ac:dyDescent="0.55000000000000004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  <c r="AE44" s="1">
        <f t="shared" si="0"/>
        <v>1375.2</v>
      </c>
    </row>
    <row r="45" spans="1:31" x14ac:dyDescent="0.55000000000000004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  <c r="AE45" s="1">
        <f t="shared" si="0"/>
        <v>1367</v>
      </c>
    </row>
    <row r="46" spans="1:31" x14ac:dyDescent="0.55000000000000004">
      <c r="A46" s="1" t="s">
        <v>34</v>
      </c>
      <c r="B46" s="1">
        <v>2014</v>
      </c>
      <c r="C46" s="1" t="s">
        <v>47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  <c r="AE46" s="1">
        <f t="shared" si="0"/>
        <v>1372.1999999999998</v>
      </c>
    </row>
    <row r="47" spans="1:31" x14ac:dyDescent="0.55000000000000004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  <c r="AE47" s="1">
        <f t="shared" si="0"/>
        <v>1386.9</v>
      </c>
    </row>
    <row r="48" spans="1:31" x14ac:dyDescent="0.55000000000000004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  <c r="AE48" s="1">
        <f t="shared" si="0"/>
        <v>1385.8000000000002</v>
      </c>
    </row>
    <row r="49" spans="1:31" x14ac:dyDescent="0.55000000000000004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  <c r="AE49" s="1">
        <f t="shared" si="0"/>
        <v>1386.5</v>
      </c>
    </row>
    <row r="50" spans="1:31" x14ac:dyDescent="0.55000000000000004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  <c r="AE50" s="1">
        <f t="shared" si="0"/>
        <v>1395.6999999999998</v>
      </c>
    </row>
    <row r="51" spans="1:31" x14ac:dyDescent="0.55000000000000004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  <c r="AE51" s="1">
        <f t="shared" si="0"/>
        <v>1405.3000000000002</v>
      </c>
    </row>
    <row r="52" spans="1:31" x14ac:dyDescent="0.55000000000000004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  <c r="AE52" s="1">
        <f t="shared" si="0"/>
        <v>1399.6000000000004</v>
      </c>
    </row>
    <row r="53" spans="1:31" x14ac:dyDescent="0.55000000000000004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  <c r="AE53" s="1">
        <f t="shared" si="0"/>
        <v>1406.1999999999998</v>
      </c>
    </row>
    <row r="54" spans="1:31" x14ac:dyDescent="0.55000000000000004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  <c r="AE54" s="1">
        <f t="shared" si="0"/>
        <v>1425</v>
      </c>
    </row>
    <row r="55" spans="1:31" x14ac:dyDescent="0.55000000000000004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  <c r="AE55" s="1">
        <f t="shared" si="0"/>
        <v>1413.3000000000002</v>
      </c>
    </row>
    <row r="56" spans="1:31" x14ac:dyDescent="0.55000000000000004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  <c r="AE56" s="1">
        <f t="shared" si="0"/>
        <v>1439.9</v>
      </c>
    </row>
    <row r="57" spans="1:31" x14ac:dyDescent="0.55000000000000004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  <c r="AE57" s="1">
        <f t="shared" si="0"/>
        <v>1472.4</v>
      </c>
    </row>
    <row r="58" spans="1:31" x14ac:dyDescent="0.55000000000000004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  <c r="AE58" s="1">
        <f t="shared" si="0"/>
        <v>1451.6</v>
      </c>
    </row>
    <row r="59" spans="1:31" x14ac:dyDescent="0.55000000000000004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  <c r="AE59" s="1">
        <f t="shared" si="0"/>
        <v>1456.9999999999998</v>
      </c>
    </row>
    <row r="60" spans="1:31" x14ac:dyDescent="0.55000000000000004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  <c r="AE60" s="1">
        <f t="shared" si="0"/>
        <v>1488.1</v>
      </c>
    </row>
    <row r="61" spans="1:31" x14ac:dyDescent="0.55000000000000004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  <c r="AE61" s="1">
        <f t="shared" si="0"/>
        <v>1467.8999999999999</v>
      </c>
    </row>
    <row r="62" spans="1:31" x14ac:dyDescent="0.55000000000000004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  <c r="AE62" s="1">
        <f t="shared" si="0"/>
        <v>1457.9</v>
      </c>
    </row>
    <row r="63" spans="1:31" x14ac:dyDescent="0.55000000000000004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  <c r="AE63" s="1">
        <f t="shared" si="0"/>
        <v>1467.0000000000002</v>
      </c>
    </row>
    <row r="64" spans="1:31" x14ac:dyDescent="0.55000000000000004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  <c r="AE64" s="1">
        <f t="shared" si="0"/>
        <v>1460.2999999999997</v>
      </c>
    </row>
    <row r="65" spans="1:31" x14ac:dyDescent="0.55000000000000004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  <c r="AE65" s="1">
        <f t="shared" si="0"/>
        <v>1456.1</v>
      </c>
    </row>
    <row r="66" spans="1:31" x14ac:dyDescent="0.55000000000000004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  <c r="AE66" s="1">
        <f t="shared" si="0"/>
        <v>1461.7</v>
      </c>
    </row>
    <row r="67" spans="1:31" x14ac:dyDescent="0.55000000000000004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  <c r="AE67" s="1">
        <f t="shared" ref="AE67:AE130" si="1">SUM(D67:O67)</f>
        <v>1457.3</v>
      </c>
    </row>
    <row r="68" spans="1:31" x14ac:dyDescent="0.55000000000000004">
      <c r="A68" s="1" t="s">
        <v>30</v>
      </c>
      <c r="B68" s="1">
        <v>2014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  <c r="AE68" s="1">
        <f t="shared" si="1"/>
        <v>1457.1</v>
      </c>
    </row>
    <row r="69" spans="1:31" x14ac:dyDescent="0.55000000000000004">
      <c r="A69" s="1" t="s">
        <v>33</v>
      </c>
      <c r="B69" s="1">
        <v>2014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  <c r="AE69" s="1">
        <f t="shared" si="1"/>
        <v>1462.3999999999999</v>
      </c>
    </row>
    <row r="70" spans="1:31" x14ac:dyDescent="0.55000000000000004">
      <c r="A70" s="1" t="s">
        <v>34</v>
      </c>
      <c r="B70" s="1">
        <v>2014</v>
      </c>
      <c r="C70" s="1" t="s">
        <v>45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  <c r="AE70" s="1">
        <f t="shared" si="1"/>
        <v>1458.1000000000001</v>
      </c>
    </row>
    <row r="71" spans="1:31" x14ac:dyDescent="0.55000000000000004">
      <c r="A71" s="1" t="s">
        <v>30</v>
      </c>
      <c r="B71" s="1">
        <v>2014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  <c r="AE71" s="1">
        <f t="shared" si="1"/>
        <v>1446.3</v>
      </c>
    </row>
    <row r="72" spans="1:31" x14ac:dyDescent="0.55000000000000004">
      <c r="A72" s="1" t="s">
        <v>33</v>
      </c>
      <c r="B72" s="1">
        <v>2014</v>
      </c>
      <c r="C72" s="1" t="s">
        <v>46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  <c r="AE72" s="1">
        <f t="shared" si="1"/>
        <v>1453.1999999999998</v>
      </c>
    </row>
    <row r="73" spans="1:31" x14ac:dyDescent="0.55000000000000004">
      <c r="A73" s="1" t="s">
        <v>34</v>
      </c>
      <c r="B73" s="1">
        <v>2014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  <c r="AE73" s="1">
        <f t="shared" si="1"/>
        <v>1448.1</v>
      </c>
    </row>
    <row r="74" spans="1:31" x14ac:dyDescent="0.55000000000000004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  <c r="AE74" s="1">
        <f t="shared" si="1"/>
        <v>1445.3</v>
      </c>
    </row>
    <row r="75" spans="1:31" x14ac:dyDescent="0.55000000000000004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  <c r="AE75" s="1">
        <f t="shared" si="1"/>
        <v>1451.3999999999999</v>
      </c>
    </row>
    <row r="76" spans="1:31" x14ac:dyDescent="0.55000000000000004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  <c r="AE76" s="1">
        <f t="shared" si="1"/>
        <v>1446.2</v>
      </c>
    </row>
    <row r="77" spans="1:31" x14ac:dyDescent="0.55000000000000004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  <c r="AE77" s="1">
        <f t="shared" si="1"/>
        <v>1447.7999999999997</v>
      </c>
    </row>
    <row r="78" spans="1:31" x14ac:dyDescent="0.55000000000000004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  <c r="AE78" s="1">
        <f t="shared" si="1"/>
        <v>1447.4</v>
      </c>
    </row>
    <row r="79" spans="1:31" x14ac:dyDescent="0.55000000000000004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  <c r="AE79" s="1">
        <f t="shared" si="1"/>
        <v>1446.2999999999997</v>
      </c>
    </row>
    <row r="80" spans="1:31" x14ac:dyDescent="0.55000000000000004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  <c r="AE80" s="1">
        <f t="shared" si="1"/>
        <v>1448.4</v>
      </c>
    </row>
    <row r="81" spans="1:31" x14ac:dyDescent="0.55000000000000004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  <c r="AE81" s="1">
        <f t="shared" si="1"/>
        <v>1444.1000000000001</v>
      </c>
    </row>
    <row r="82" spans="1:31" x14ac:dyDescent="0.55000000000000004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  <c r="AE82" s="1">
        <f t="shared" si="1"/>
        <v>1445.6999999999998</v>
      </c>
    </row>
    <row r="83" spans="1:31" x14ac:dyDescent="0.55000000000000004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  <c r="AE83" s="1">
        <f t="shared" si="1"/>
        <v>1453.6000000000001</v>
      </c>
    </row>
    <row r="84" spans="1:31" x14ac:dyDescent="0.55000000000000004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  <c r="AE84" s="1">
        <f t="shared" si="1"/>
        <v>1451.5</v>
      </c>
    </row>
    <row r="85" spans="1:31" x14ac:dyDescent="0.55000000000000004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  <c r="AE85" s="1">
        <f t="shared" si="1"/>
        <v>1451.7</v>
      </c>
    </row>
    <row r="86" spans="1:31" x14ac:dyDescent="0.55000000000000004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  <c r="AE86" s="1">
        <f t="shared" si="1"/>
        <v>1463.3</v>
      </c>
    </row>
    <row r="87" spans="1:31" x14ac:dyDescent="0.55000000000000004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  <c r="AE87" s="1">
        <f t="shared" si="1"/>
        <v>1472.8000000000002</v>
      </c>
    </row>
    <row r="88" spans="1:31" x14ac:dyDescent="0.55000000000000004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  <c r="AE88" s="1">
        <f t="shared" si="1"/>
        <v>1465.4</v>
      </c>
    </row>
    <row r="89" spans="1:31" x14ac:dyDescent="0.55000000000000004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  <c r="AE89" s="1">
        <f t="shared" si="1"/>
        <v>1491.3</v>
      </c>
    </row>
    <row r="90" spans="1:31" x14ac:dyDescent="0.55000000000000004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  <c r="AE90" s="1">
        <f t="shared" si="1"/>
        <v>1508.1</v>
      </c>
    </row>
    <row r="91" spans="1:31" x14ac:dyDescent="0.55000000000000004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  <c r="AE91" s="1">
        <f t="shared" si="1"/>
        <v>1496.2</v>
      </c>
    </row>
    <row r="92" spans="1:31" x14ac:dyDescent="0.55000000000000004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  <c r="AE92" s="1">
        <f t="shared" si="1"/>
        <v>1497.8</v>
      </c>
    </row>
    <row r="93" spans="1:31" x14ac:dyDescent="0.55000000000000004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  <c r="AE93" s="1">
        <f t="shared" si="1"/>
        <v>1513.3999999999999</v>
      </c>
    </row>
    <row r="94" spans="1:31" x14ac:dyDescent="0.55000000000000004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  <c r="AE94" s="1">
        <f t="shared" si="1"/>
        <v>1502.4</v>
      </c>
    </row>
    <row r="95" spans="1:31" x14ac:dyDescent="0.55000000000000004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  <c r="AE95" s="1">
        <f t="shared" si="1"/>
        <v>1516.8</v>
      </c>
    </row>
    <row r="96" spans="1:31" x14ac:dyDescent="0.55000000000000004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  <c r="AE96" s="1">
        <f t="shared" si="1"/>
        <v>1527.8</v>
      </c>
    </row>
    <row r="97" spans="1:31" x14ac:dyDescent="0.55000000000000004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  <c r="AE97" s="1">
        <f t="shared" si="1"/>
        <v>1519.3</v>
      </c>
    </row>
    <row r="98" spans="1:31" x14ac:dyDescent="0.55000000000000004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  <c r="AE98" s="1">
        <f t="shared" si="1"/>
        <v>1526.6000000000001</v>
      </c>
    </row>
    <row r="99" spans="1:31" x14ac:dyDescent="0.55000000000000004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  <c r="AE99" s="1">
        <f t="shared" si="1"/>
        <v>1533.3</v>
      </c>
    </row>
    <row r="100" spans="1:31" x14ac:dyDescent="0.55000000000000004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  <c r="AE100" s="1">
        <f t="shared" si="1"/>
        <v>1527.1000000000001</v>
      </c>
    </row>
    <row r="101" spans="1:31" x14ac:dyDescent="0.55000000000000004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  <c r="AE101" s="1">
        <f t="shared" si="1"/>
        <v>1542.8</v>
      </c>
    </row>
    <row r="102" spans="1:31" x14ac:dyDescent="0.55000000000000004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  <c r="AE102" s="1">
        <f t="shared" si="1"/>
        <v>1560.2000000000003</v>
      </c>
    </row>
    <row r="103" spans="1:31" x14ac:dyDescent="0.55000000000000004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  <c r="AE103" s="1">
        <f t="shared" si="1"/>
        <v>1546.8999999999999</v>
      </c>
    </row>
    <row r="104" spans="1:31" x14ac:dyDescent="0.55000000000000004">
      <c r="A104" s="1" t="s">
        <v>30</v>
      </c>
      <c r="B104" s="1">
        <v>2015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  <c r="AE104" s="1">
        <f t="shared" si="1"/>
        <v>1553.8999999999999</v>
      </c>
    </row>
    <row r="105" spans="1:31" x14ac:dyDescent="0.55000000000000004">
      <c r="A105" s="1" t="s">
        <v>33</v>
      </c>
      <c r="B105" s="1">
        <v>2015</v>
      </c>
      <c r="C105" s="1" t="s">
        <v>45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  <c r="AE105" s="1">
        <f t="shared" si="1"/>
        <v>1575.1999999999998</v>
      </c>
    </row>
    <row r="106" spans="1:31" x14ac:dyDescent="0.55000000000000004">
      <c r="A106" s="1" t="s">
        <v>34</v>
      </c>
      <c r="B106" s="1">
        <v>2015</v>
      </c>
      <c r="C106" s="1" t="s">
        <v>45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  <c r="AE106" s="1">
        <f t="shared" si="1"/>
        <v>1559.3999999999999</v>
      </c>
    </row>
    <row r="107" spans="1:31" x14ac:dyDescent="0.55000000000000004">
      <c r="A107" s="1" t="s">
        <v>30</v>
      </c>
      <c r="B107" s="1">
        <v>2015</v>
      </c>
      <c r="C107" s="1" t="s">
        <v>46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  <c r="AE107" s="1">
        <f t="shared" si="1"/>
        <v>1550.9</v>
      </c>
    </row>
    <row r="108" spans="1:31" x14ac:dyDescent="0.55000000000000004">
      <c r="A108" s="1" t="s">
        <v>33</v>
      </c>
      <c r="B108" s="1">
        <v>2015</v>
      </c>
      <c r="C108" s="1" t="s">
        <v>46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  <c r="AE108" s="1">
        <f t="shared" si="1"/>
        <v>1567.3</v>
      </c>
    </row>
    <row r="109" spans="1:31" x14ac:dyDescent="0.55000000000000004">
      <c r="A109" s="1" t="s">
        <v>34</v>
      </c>
      <c r="B109" s="1">
        <v>2015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  <c r="AE109" s="1">
        <f t="shared" si="1"/>
        <v>1554.7</v>
      </c>
    </row>
    <row r="110" spans="1:31" x14ac:dyDescent="0.55000000000000004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  <c r="AE110" s="1">
        <f t="shared" si="1"/>
        <v>1558.7</v>
      </c>
    </row>
    <row r="111" spans="1:31" x14ac:dyDescent="0.55000000000000004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  <c r="AE111" s="1">
        <f t="shared" si="1"/>
        <v>1570.2</v>
      </c>
    </row>
    <row r="112" spans="1:31" x14ac:dyDescent="0.55000000000000004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  <c r="AE112" s="1">
        <f t="shared" si="1"/>
        <v>1560.4</v>
      </c>
    </row>
    <row r="113" spans="1:31" x14ac:dyDescent="0.55000000000000004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  <c r="AE113" s="1">
        <f t="shared" si="1"/>
        <v>1552.3</v>
      </c>
    </row>
    <row r="114" spans="1:31" x14ac:dyDescent="0.55000000000000004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  <c r="AE114" s="1">
        <f t="shared" si="1"/>
        <v>1547</v>
      </c>
    </row>
    <row r="115" spans="1:31" x14ac:dyDescent="0.55000000000000004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  <c r="AE115" s="1">
        <f t="shared" si="1"/>
        <v>1548.1999999999998</v>
      </c>
    </row>
    <row r="116" spans="1:31" x14ac:dyDescent="0.55000000000000004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  <c r="AE116" s="1">
        <f t="shared" si="1"/>
        <v>1552.3000000000002</v>
      </c>
    </row>
    <row r="117" spans="1:31" x14ac:dyDescent="0.55000000000000004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  <c r="AE117" s="1">
        <f t="shared" si="1"/>
        <v>1538.7</v>
      </c>
    </row>
    <row r="118" spans="1:31" x14ac:dyDescent="0.55000000000000004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  <c r="AE118" s="1">
        <f t="shared" si="1"/>
        <v>1545.4</v>
      </c>
    </row>
    <row r="119" spans="1:31" x14ac:dyDescent="0.55000000000000004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  <c r="AE119" s="1">
        <f t="shared" si="1"/>
        <v>1569.8000000000004</v>
      </c>
    </row>
    <row r="120" spans="1:31" x14ac:dyDescent="0.55000000000000004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  <c r="AE120" s="1">
        <f t="shared" si="1"/>
        <v>1574.5</v>
      </c>
    </row>
    <row r="121" spans="1:31" x14ac:dyDescent="0.55000000000000004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  <c r="AE121" s="1">
        <f t="shared" si="1"/>
        <v>1569.5</v>
      </c>
    </row>
    <row r="122" spans="1:31" x14ac:dyDescent="0.55000000000000004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  <c r="AE122" s="1">
        <f t="shared" si="1"/>
        <v>1590.1</v>
      </c>
    </row>
    <row r="123" spans="1:31" x14ac:dyDescent="0.55000000000000004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  <c r="AE123" s="1">
        <f t="shared" si="1"/>
        <v>1612.1999999999998</v>
      </c>
    </row>
    <row r="124" spans="1:31" x14ac:dyDescent="0.55000000000000004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  <c r="AE124" s="1">
        <f t="shared" si="1"/>
        <v>1596.4</v>
      </c>
    </row>
    <row r="125" spans="1:31" x14ac:dyDescent="0.55000000000000004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  <c r="AE125" s="1">
        <f t="shared" si="1"/>
        <v>1612.6</v>
      </c>
    </row>
    <row r="126" spans="1:31" x14ac:dyDescent="0.55000000000000004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  <c r="AE126" s="1">
        <f t="shared" si="1"/>
        <v>1648.8000000000002</v>
      </c>
    </row>
    <row r="127" spans="1:31" x14ac:dyDescent="0.55000000000000004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  <c r="AE127" s="1">
        <f t="shared" si="1"/>
        <v>1623.8</v>
      </c>
    </row>
    <row r="128" spans="1:31" x14ac:dyDescent="0.55000000000000004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  <c r="AE128" s="1">
        <f t="shared" si="1"/>
        <v>1632.6999999999998</v>
      </c>
    </row>
    <row r="129" spans="1:31" x14ac:dyDescent="0.55000000000000004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  <c r="AE129" s="1">
        <f t="shared" si="1"/>
        <v>1671.7000000000003</v>
      </c>
    </row>
    <row r="130" spans="1:31" x14ac:dyDescent="0.55000000000000004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  <c r="AE130" s="1">
        <f t="shared" si="1"/>
        <v>1645.1</v>
      </c>
    </row>
    <row r="131" spans="1:31" x14ac:dyDescent="0.55000000000000004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  <c r="AE131" s="1">
        <f t="shared" ref="AE131:AE194" si="2">SUM(D131:O131)</f>
        <v>1639.4999999999998</v>
      </c>
    </row>
    <row r="132" spans="1:31" x14ac:dyDescent="0.55000000000000004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  <c r="AE132" s="1">
        <f t="shared" si="2"/>
        <v>1646.3999999999996</v>
      </c>
    </row>
    <row r="133" spans="1:31" x14ac:dyDescent="0.55000000000000004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  <c r="AE133" s="1">
        <f t="shared" si="2"/>
        <v>1640</v>
      </c>
    </row>
    <row r="134" spans="1:31" x14ac:dyDescent="0.55000000000000004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  <c r="AE134" s="1">
        <f t="shared" si="2"/>
        <v>1633.5</v>
      </c>
    </row>
    <row r="135" spans="1:31" x14ac:dyDescent="0.55000000000000004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  <c r="AE135" s="1">
        <f t="shared" si="2"/>
        <v>1620.6999999999996</v>
      </c>
    </row>
    <row r="136" spans="1:31" x14ac:dyDescent="0.55000000000000004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  <c r="AE136" s="1">
        <f t="shared" si="2"/>
        <v>1627.1</v>
      </c>
    </row>
    <row r="137" spans="1:31" x14ac:dyDescent="0.55000000000000004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  <c r="AE137" s="1">
        <f t="shared" si="2"/>
        <v>1634.4</v>
      </c>
    </row>
    <row r="138" spans="1:31" x14ac:dyDescent="0.55000000000000004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  <c r="AE138" s="1">
        <f t="shared" si="2"/>
        <v>1626.6</v>
      </c>
    </row>
    <row r="139" spans="1:31" x14ac:dyDescent="0.55000000000000004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  <c r="AE139" s="1">
        <f t="shared" si="2"/>
        <v>1629.7999999999995</v>
      </c>
    </row>
    <row r="140" spans="1:31" x14ac:dyDescent="0.55000000000000004">
      <c r="A140" s="1" t="s">
        <v>30</v>
      </c>
      <c r="B140" s="1">
        <v>2016</v>
      </c>
      <c r="C140" s="1" t="s">
        <v>45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  <c r="AE140" s="1">
        <f t="shared" si="2"/>
        <v>1628</v>
      </c>
    </row>
    <row r="141" spans="1:31" x14ac:dyDescent="0.55000000000000004">
      <c r="A141" s="1" t="s">
        <v>33</v>
      </c>
      <c r="B141" s="1">
        <v>2016</v>
      </c>
      <c r="C141" s="1" t="s">
        <v>45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  <c r="AE141" s="1">
        <f t="shared" si="2"/>
        <v>1620</v>
      </c>
    </row>
    <row r="142" spans="1:31" x14ac:dyDescent="0.55000000000000004">
      <c r="A142" s="1" t="s">
        <v>34</v>
      </c>
      <c r="B142" s="1">
        <v>2016</v>
      </c>
      <c r="C142" s="1" t="s">
        <v>45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  <c r="AE142" s="1">
        <f t="shared" si="2"/>
        <v>1623.7</v>
      </c>
    </row>
    <row r="143" spans="1:31" x14ac:dyDescent="0.55000000000000004">
      <c r="A143" s="1" t="s">
        <v>30</v>
      </c>
      <c r="B143" s="1">
        <v>2016</v>
      </c>
      <c r="C143" s="1" t="s">
        <v>46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  <c r="AE143" s="1">
        <f t="shared" si="2"/>
        <v>1614.3999999999999</v>
      </c>
    </row>
    <row r="144" spans="1:31" x14ac:dyDescent="0.55000000000000004">
      <c r="A144" s="1" t="s">
        <v>33</v>
      </c>
      <c r="B144" s="1">
        <v>2016</v>
      </c>
      <c r="C144" s="1" t="s">
        <v>46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  <c r="AE144" s="1">
        <f t="shared" si="2"/>
        <v>1597</v>
      </c>
    </row>
    <row r="145" spans="1:31" x14ac:dyDescent="0.55000000000000004">
      <c r="A145" s="1" t="s">
        <v>34</v>
      </c>
      <c r="B145" s="1">
        <v>2016</v>
      </c>
      <c r="C145" s="1" t="s">
        <v>46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  <c r="AE145" s="1">
        <f t="shared" si="2"/>
        <v>1606.7</v>
      </c>
    </row>
    <row r="146" spans="1:31" x14ac:dyDescent="0.55000000000000004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  <c r="AE146" s="1">
        <f t="shared" si="2"/>
        <v>1603.6000000000001</v>
      </c>
    </row>
    <row r="147" spans="1:31" x14ac:dyDescent="0.55000000000000004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  <c r="AE147" s="1">
        <f t="shared" si="2"/>
        <v>1581.2</v>
      </c>
    </row>
    <row r="148" spans="1:31" x14ac:dyDescent="0.55000000000000004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  <c r="AE148" s="1">
        <f t="shared" si="2"/>
        <v>1594.1999999999996</v>
      </c>
    </row>
    <row r="149" spans="1:31" x14ac:dyDescent="0.55000000000000004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  <c r="AE149" s="1">
        <f t="shared" si="2"/>
        <v>1600.9000000000003</v>
      </c>
    </row>
    <row r="150" spans="1:31" x14ac:dyDescent="0.55000000000000004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  <c r="AE150" s="1">
        <f t="shared" si="2"/>
        <v>1573.2000000000003</v>
      </c>
    </row>
    <row r="151" spans="1:31" x14ac:dyDescent="0.55000000000000004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  <c r="AE151" s="1">
        <f t="shared" si="2"/>
        <v>1589.3000000000002</v>
      </c>
    </row>
    <row r="152" spans="1:31" x14ac:dyDescent="0.55000000000000004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  <c r="AE152" s="1">
        <f t="shared" si="2"/>
        <v>1595.1000000000001</v>
      </c>
    </row>
    <row r="153" spans="1:31" x14ac:dyDescent="0.55000000000000004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  <c r="AE153" s="1">
        <f t="shared" si="2"/>
        <v>1573.1</v>
      </c>
    </row>
    <row r="154" spans="1:31" x14ac:dyDescent="0.55000000000000004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  <c r="AE154" s="1">
        <f t="shared" si="2"/>
        <v>1585.8000000000002</v>
      </c>
    </row>
    <row r="155" spans="1:31" x14ac:dyDescent="0.55000000000000004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  <c r="AE155" s="1">
        <f t="shared" si="2"/>
        <v>1592.8</v>
      </c>
    </row>
    <row r="156" spans="1:31" x14ac:dyDescent="0.55000000000000004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  <c r="AE156" s="1">
        <f t="shared" si="2"/>
        <v>1574.6999999999998</v>
      </c>
    </row>
    <row r="157" spans="1:31" x14ac:dyDescent="0.55000000000000004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  <c r="AE157" s="1">
        <f t="shared" si="2"/>
        <v>1584.9</v>
      </c>
    </row>
    <row r="158" spans="1:31" x14ac:dyDescent="0.55000000000000004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  <c r="AE158" s="1">
        <f t="shared" si="2"/>
        <v>1593.6999999999996</v>
      </c>
    </row>
    <row r="159" spans="1:31" x14ac:dyDescent="0.55000000000000004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  <c r="AE159" s="1">
        <f t="shared" si="2"/>
        <v>1576</v>
      </c>
    </row>
    <row r="160" spans="1:31" x14ac:dyDescent="0.55000000000000004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  <c r="AE160" s="1">
        <f t="shared" si="2"/>
        <v>1585.9</v>
      </c>
    </row>
    <row r="161" spans="1:31" x14ac:dyDescent="0.55000000000000004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  <c r="AE161" s="1">
        <f t="shared" si="2"/>
        <v>1603.9</v>
      </c>
    </row>
    <row r="162" spans="1:31" x14ac:dyDescent="0.55000000000000004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  <c r="AE162" s="1">
        <f t="shared" si="2"/>
        <v>1595.3000000000002</v>
      </c>
    </row>
    <row r="163" spans="1:31" x14ac:dyDescent="0.55000000000000004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  <c r="AE163" s="1">
        <f t="shared" si="2"/>
        <v>1599.5</v>
      </c>
    </row>
    <row r="164" spans="1:31" x14ac:dyDescent="0.55000000000000004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  <c r="AE164" s="1">
        <f t="shared" si="2"/>
        <v>1634.4</v>
      </c>
    </row>
    <row r="165" spans="1:31" x14ac:dyDescent="0.55000000000000004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  <c r="AE165" s="1">
        <f t="shared" si="2"/>
        <v>1628.3</v>
      </c>
    </row>
    <row r="166" spans="1:31" x14ac:dyDescent="0.55000000000000004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  <c r="AE166" s="1">
        <f t="shared" si="2"/>
        <v>1630.3999999999999</v>
      </c>
    </row>
    <row r="167" spans="1:31" x14ac:dyDescent="0.55000000000000004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  <c r="AE167" s="1">
        <f t="shared" si="2"/>
        <v>1651.8999999999999</v>
      </c>
    </row>
    <row r="168" spans="1:31" x14ac:dyDescent="0.55000000000000004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  <c r="AE168" s="1">
        <f t="shared" si="2"/>
        <v>1632.4999999999998</v>
      </c>
    </row>
    <row r="169" spans="1:31" x14ac:dyDescent="0.55000000000000004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  <c r="AE169" s="1">
        <f t="shared" si="2"/>
        <v>1643.2</v>
      </c>
    </row>
    <row r="170" spans="1:31" x14ac:dyDescent="0.55000000000000004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  <c r="AE170" s="1">
        <f t="shared" si="2"/>
        <v>1644.7</v>
      </c>
    </row>
    <row r="171" spans="1:31" x14ac:dyDescent="0.55000000000000004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  <c r="AE171" s="1">
        <f t="shared" si="2"/>
        <v>1611.7</v>
      </c>
    </row>
    <row r="172" spans="1:31" x14ac:dyDescent="0.55000000000000004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  <c r="AE172" s="1">
        <f t="shared" si="2"/>
        <v>1630.9999999999998</v>
      </c>
    </row>
    <row r="173" spans="1:31" x14ac:dyDescent="0.55000000000000004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  <c r="AE173" s="1">
        <f t="shared" si="2"/>
        <v>1650.4999999999998</v>
      </c>
    </row>
    <row r="174" spans="1:31" x14ac:dyDescent="0.55000000000000004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  <c r="AE174" s="1">
        <f t="shared" si="2"/>
        <v>1625.9999999999998</v>
      </c>
    </row>
    <row r="175" spans="1:31" x14ac:dyDescent="0.55000000000000004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  <c r="AE175" s="1">
        <f t="shared" si="2"/>
        <v>1639.6</v>
      </c>
    </row>
    <row r="176" spans="1:31" x14ac:dyDescent="0.55000000000000004">
      <c r="A176" s="1" t="s">
        <v>30</v>
      </c>
      <c r="B176" s="1">
        <v>2017</v>
      </c>
      <c r="C176" s="1" t="s">
        <v>45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  <c r="AE176" s="1">
        <f t="shared" si="2"/>
        <v>1675.3000000000002</v>
      </c>
    </row>
    <row r="177" spans="1:31" x14ac:dyDescent="0.55000000000000004">
      <c r="A177" s="1" t="s">
        <v>33</v>
      </c>
      <c r="B177" s="1">
        <v>2017</v>
      </c>
      <c r="C177" s="1" t="s">
        <v>45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  <c r="AE177" s="1">
        <f t="shared" si="2"/>
        <v>1655.2</v>
      </c>
    </row>
    <row r="178" spans="1:31" x14ac:dyDescent="0.55000000000000004">
      <c r="A178" s="1" t="s">
        <v>34</v>
      </c>
      <c r="B178" s="1">
        <v>2017</v>
      </c>
      <c r="C178" s="1" t="s">
        <v>45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  <c r="AE178" s="1">
        <f t="shared" si="2"/>
        <v>1666.1000000000001</v>
      </c>
    </row>
    <row r="179" spans="1:31" x14ac:dyDescent="0.55000000000000004">
      <c r="A179" s="1" t="s">
        <v>30</v>
      </c>
      <c r="B179" s="1">
        <v>2017</v>
      </c>
      <c r="C179" s="1" t="s">
        <v>46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  <c r="AE179" s="1">
        <f t="shared" si="2"/>
        <v>1672.1000000000001</v>
      </c>
    </row>
    <row r="180" spans="1:31" x14ac:dyDescent="0.55000000000000004">
      <c r="A180" s="1" t="s">
        <v>33</v>
      </c>
      <c r="B180" s="1">
        <v>2017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  <c r="AE180" s="1">
        <f t="shared" si="2"/>
        <v>1628.7</v>
      </c>
    </row>
    <row r="181" spans="1:31" x14ac:dyDescent="0.55000000000000004">
      <c r="A181" s="1" t="s">
        <v>34</v>
      </c>
      <c r="B181" s="1">
        <v>2017</v>
      </c>
      <c r="C181" s="1" t="s">
        <v>46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  <c r="AE181" s="1">
        <f t="shared" si="2"/>
        <v>1654.4999999999998</v>
      </c>
    </row>
    <row r="182" spans="1:31" x14ac:dyDescent="0.55000000000000004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  <c r="AE182" s="1">
        <f t="shared" si="2"/>
        <v>1660.3</v>
      </c>
    </row>
    <row r="183" spans="1:31" x14ac:dyDescent="0.55000000000000004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  <c r="AE183" s="1">
        <f t="shared" si="2"/>
        <v>1611.1000000000001</v>
      </c>
    </row>
    <row r="184" spans="1:31" x14ac:dyDescent="0.55000000000000004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  <c r="AE184" s="1">
        <f t="shared" si="2"/>
        <v>1640.7</v>
      </c>
    </row>
    <row r="185" spans="1:31" x14ac:dyDescent="0.55000000000000004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  <c r="AE185" s="1">
        <f t="shared" si="2"/>
        <v>1642.8</v>
      </c>
    </row>
    <row r="186" spans="1:31" x14ac:dyDescent="0.55000000000000004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  <c r="AE186" s="1">
        <f t="shared" si="2"/>
        <v>1592.3000000000002</v>
      </c>
    </row>
    <row r="187" spans="1:31" x14ac:dyDescent="0.55000000000000004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  <c r="AE187" s="1">
        <f t="shared" si="2"/>
        <v>1622.7999999999997</v>
      </c>
    </row>
    <row r="188" spans="1:31" x14ac:dyDescent="0.55000000000000004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  <c r="AE188" s="1">
        <f t="shared" si="2"/>
        <v>1643.3999999999999</v>
      </c>
    </row>
    <row r="189" spans="1:31" x14ac:dyDescent="0.55000000000000004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  <c r="AE189" s="1">
        <f t="shared" si="2"/>
        <v>1580.7</v>
      </c>
    </row>
    <row r="190" spans="1:31" x14ac:dyDescent="0.55000000000000004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  <c r="AE190" s="1">
        <f t="shared" si="2"/>
        <v>1618.8</v>
      </c>
    </row>
    <row r="191" spans="1:31" x14ac:dyDescent="0.55000000000000004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  <c r="AE191" s="1">
        <f t="shared" si="2"/>
        <v>1641.4</v>
      </c>
    </row>
    <row r="192" spans="1:31" x14ac:dyDescent="0.55000000000000004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  <c r="AE192" s="1">
        <f t="shared" si="2"/>
        <v>1584.3000000000002</v>
      </c>
    </row>
    <row r="193" spans="1:31" x14ac:dyDescent="0.55000000000000004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  <c r="AE193" s="1">
        <f t="shared" si="2"/>
        <v>1619.6000000000001</v>
      </c>
    </row>
    <row r="194" spans="1:31" x14ac:dyDescent="0.55000000000000004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  <c r="AE194" s="1">
        <f t="shared" si="2"/>
        <v>1643.3000000000002</v>
      </c>
    </row>
    <row r="195" spans="1:31" x14ac:dyDescent="0.55000000000000004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  <c r="AE195" s="1">
        <f t="shared" ref="AE195:AE258" si="3">SUM(D195:O195)</f>
        <v>1586.4999999999998</v>
      </c>
    </row>
    <row r="196" spans="1:31" x14ac:dyDescent="0.55000000000000004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  <c r="AE196" s="1">
        <f t="shared" si="3"/>
        <v>1621.7</v>
      </c>
    </row>
    <row r="197" spans="1:31" x14ac:dyDescent="0.55000000000000004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  <c r="AE197" s="1">
        <f t="shared" si="3"/>
        <v>1650.2999999999997</v>
      </c>
    </row>
    <row r="198" spans="1:31" x14ac:dyDescent="0.55000000000000004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  <c r="AE198" s="1">
        <f t="shared" si="3"/>
        <v>1608.9</v>
      </c>
    </row>
    <row r="199" spans="1:31" x14ac:dyDescent="0.55000000000000004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  <c r="AE199" s="1">
        <f t="shared" si="3"/>
        <v>1634.7</v>
      </c>
    </row>
    <row r="200" spans="1:31" x14ac:dyDescent="0.55000000000000004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  <c r="AE200" s="1">
        <f t="shared" si="3"/>
        <v>1668.5000000000002</v>
      </c>
    </row>
    <row r="201" spans="1:31" x14ac:dyDescent="0.55000000000000004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  <c r="AE201" s="1">
        <f t="shared" si="3"/>
        <v>1630.8</v>
      </c>
    </row>
    <row r="202" spans="1:31" x14ac:dyDescent="0.55000000000000004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  <c r="AE202" s="1">
        <f t="shared" si="3"/>
        <v>1653.8999999999999</v>
      </c>
    </row>
    <row r="203" spans="1:31" x14ac:dyDescent="0.55000000000000004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  <c r="AE203" s="1">
        <f t="shared" si="3"/>
        <v>1676.1</v>
      </c>
    </row>
    <row r="204" spans="1:31" x14ac:dyDescent="0.55000000000000004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  <c r="AE204" s="1">
        <f t="shared" si="3"/>
        <v>1627.5</v>
      </c>
    </row>
    <row r="205" spans="1:31" x14ac:dyDescent="0.55000000000000004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  <c r="AE205" s="1">
        <f t="shared" si="3"/>
        <v>1657.0000000000002</v>
      </c>
    </row>
    <row r="206" spans="1:31" x14ac:dyDescent="0.55000000000000004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  <c r="AE206" s="1">
        <f t="shared" si="3"/>
        <v>1658.5000000000002</v>
      </c>
    </row>
    <row r="207" spans="1:31" x14ac:dyDescent="0.55000000000000004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  <c r="AE207" s="1">
        <f t="shared" si="3"/>
        <v>1609.5</v>
      </c>
    </row>
    <row r="208" spans="1:31" x14ac:dyDescent="0.55000000000000004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  <c r="AE208" s="1">
        <f t="shared" si="3"/>
        <v>1639.1</v>
      </c>
    </row>
    <row r="209" spans="1:31" x14ac:dyDescent="0.55000000000000004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  <c r="AE209" s="1">
        <f t="shared" si="3"/>
        <v>1642</v>
      </c>
    </row>
    <row r="210" spans="1:31" x14ac:dyDescent="0.55000000000000004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  <c r="AE210" s="1">
        <f t="shared" si="3"/>
        <v>1614.6999999999998</v>
      </c>
    </row>
    <row r="211" spans="1:31" x14ac:dyDescent="0.55000000000000004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  <c r="AE211" s="1">
        <f t="shared" si="3"/>
        <v>1636.5</v>
      </c>
    </row>
    <row r="212" spans="1:31" x14ac:dyDescent="0.55000000000000004">
      <c r="A212" s="1" t="s">
        <v>30</v>
      </c>
      <c r="B212" s="1">
        <v>2018</v>
      </c>
      <c r="C212" s="1" t="s">
        <v>45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  <c r="AE212" s="1">
        <f t="shared" si="3"/>
        <v>1647.4999999999995</v>
      </c>
    </row>
    <row r="213" spans="1:31" x14ac:dyDescent="0.55000000000000004">
      <c r="A213" s="1" t="s">
        <v>33</v>
      </c>
      <c r="B213" s="1">
        <v>2018</v>
      </c>
      <c r="C213" s="1" t="s">
        <v>45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  <c r="AE213" s="1">
        <f t="shared" si="3"/>
        <v>1618.3999999999999</v>
      </c>
    </row>
    <row r="214" spans="1:31" x14ac:dyDescent="0.55000000000000004">
      <c r="A214" s="1" t="s">
        <v>34</v>
      </c>
      <c r="B214" s="1">
        <v>2018</v>
      </c>
      <c r="C214" s="1" t="s">
        <v>45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  <c r="AE214" s="1">
        <f t="shared" si="3"/>
        <v>1636.0000000000002</v>
      </c>
    </row>
    <row r="215" spans="1:31" x14ac:dyDescent="0.55000000000000004">
      <c r="A215" s="1" t="s">
        <v>30</v>
      </c>
      <c r="B215" s="1">
        <v>2018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  <c r="AE215" s="1">
        <f t="shared" si="3"/>
        <v>1634.6000000000001</v>
      </c>
    </row>
    <row r="216" spans="1:31" x14ac:dyDescent="0.55000000000000004">
      <c r="A216" s="1" t="s">
        <v>33</v>
      </c>
      <c r="B216" s="1">
        <v>2018</v>
      </c>
      <c r="C216" s="1" t="s">
        <v>46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  <c r="AE216" s="1">
        <f t="shared" si="3"/>
        <v>1609</v>
      </c>
    </row>
    <row r="217" spans="1:31" x14ac:dyDescent="0.55000000000000004">
      <c r="A217" s="1" t="s">
        <v>34</v>
      </c>
      <c r="B217" s="1">
        <v>2018</v>
      </c>
      <c r="C217" s="1" t="s">
        <v>46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  <c r="AE217" s="1">
        <f t="shared" si="3"/>
        <v>1624.5999999999997</v>
      </c>
    </row>
    <row r="218" spans="1:31" x14ac:dyDescent="0.55000000000000004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  <c r="AE218" s="1">
        <f t="shared" si="3"/>
        <v>1622.2</v>
      </c>
    </row>
    <row r="219" spans="1:31" x14ac:dyDescent="0.55000000000000004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  <c r="AE219" s="1">
        <f t="shared" si="3"/>
        <v>1607.0000000000002</v>
      </c>
    </row>
    <row r="220" spans="1:31" x14ac:dyDescent="0.55000000000000004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  <c r="AE220" s="1">
        <f t="shared" si="3"/>
        <v>1615.9999999999998</v>
      </c>
    </row>
    <row r="221" spans="1:31" x14ac:dyDescent="0.55000000000000004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  <c r="AE221" s="1">
        <f t="shared" si="3"/>
        <v>1622.6000000000001</v>
      </c>
    </row>
    <row r="222" spans="1:31" x14ac:dyDescent="0.55000000000000004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  <c r="AE222" s="1">
        <f t="shared" si="3"/>
        <v>1616.4</v>
      </c>
    </row>
    <row r="223" spans="1:31" x14ac:dyDescent="0.55000000000000004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  <c r="AE223" s="1">
        <f t="shared" si="3"/>
        <v>1619.6</v>
      </c>
    </row>
    <row r="224" spans="1:31" x14ac:dyDescent="0.55000000000000004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  <c r="AE224" s="1">
        <f t="shared" si="3"/>
        <v>1623.9000000000003</v>
      </c>
    </row>
    <row r="225" spans="1:31" x14ac:dyDescent="0.55000000000000004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  <c r="AE225" s="1">
        <f t="shared" si="3"/>
        <v>1628.8000000000002</v>
      </c>
    </row>
    <row r="226" spans="1:31" x14ac:dyDescent="0.55000000000000004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  <c r="AE226" s="1">
        <f t="shared" si="3"/>
        <v>1624.8000000000002</v>
      </c>
    </row>
    <row r="227" spans="1:31" x14ac:dyDescent="0.55000000000000004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  <c r="AE227" s="1">
        <f t="shared" si="3"/>
        <v>1642.9</v>
      </c>
    </row>
    <row r="228" spans="1:31" x14ac:dyDescent="0.55000000000000004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  <c r="AE228" s="1">
        <f t="shared" si="3"/>
        <v>1667.7000000000003</v>
      </c>
    </row>
    <row r="229" spans="1:31" x14ac:dyDescent="0.55000000000000004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  <c r="AE229" s="1">
        <f t="shared" si="3"/>
        <v>1651.0000000000002</v>
      </c>
    </row>
    <row r="230" spans="1:31" x14ac:dyDescent="0.55000000000000004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  <c r="AE230" s="1">
        <f t="shared" si="3"/>
        <v>1663.1999999999998</v>
      </c>
    </row>
    <row r="231" spans="1:31" x14ac:dyDescent="0.55000000000000004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  <c r="AE231" s="1">
        <f t="shared" si="3"/>
        <v>1687.6999999999998</v>
      </c>
    </row>
    <row r="232" spans="1:31" x14ac:dyDescent="0.55000000000000004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  <c r="AE232" s="1">
        <f t="shared" si="3"/>
        <v>1671.4</v>
      </c>
    </row>
    <row r="233" spans="1:31" x14ac:dyDescent="0.55000000000000004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  <c r="AE233" s="1">
        <f t="shared" si="3"/>
        <v>1683.8999999999999</v>
      </c>
    </row>
    <row r="234" spans="1:31" x14ac:dyDescent="0.55000000000000004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  <c r="AE234" s="1">
        <f t="shared" si="3"/>
        <v>1709.6999999999998</v>
      </c>
    </row>
    <row r="235" spans="1:31" x14ac:dyDescent="0.55000000000000004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  <c r="AE235" s="1">
        <f t="shared" si="3"/>
        <v>1692.8</v>
      </c>
    </row>
    <row r="236" spans="1:31" x14ac:dyDescent="0.55000000000000004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  <c r="AE236" s="1">
        <f t="shared" si="3"/>
        <v>1690.5000000000002</v>
      </c>
    </row>
    <row r="237" spans="1:31" x14ac:dyDescent="0.55000000000000004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  <c r="AE237" s="1">
        <f t="shared" si="3"/>
        <v>1720</v>
      </c>
    </row>
    <row r="238" spans="1:31" x14ac:dyDescent="0.55000000000000004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  <c r="AE238" s="1">
        <f t="shared" si="3"/>
        <v>1700.6</v>
      </c>
    </row>
    <row r="239" spans="1:31" x14ac:dyDescent="0.55000000000000004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  <c r="AE239" s="1">
        <f t="shared" si="3"/>
        <v>1703.2</v>
      </c>
    </row>
    <row r="240" spans="1:31" x14ac:dyDescent="0.55000000000000004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  <c r="AE240" s="1">
        <f t="shared" si="3"/>
        <v>1725.4</v>
      </c>
    </row>
    <row r="241" spans="1:31" x14ac:dyDescent="0.55000000000000004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  <c r="AE241" s="1">
        <f t="shared" si="3"/>
        <v>1710.6999999999998</v>
      </c>
    </row>
    <row r="242" spans="1:31" x14ac:dyDescent="0.55000000000000004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  <c r="AE242" s="1">
        <f t="shared" si="3"/>
        <v>1728.5999999999997</v>
      </c>
    </row>
    <row r="243" spans="1:31" x14ac:dyDescent="0.55000000000000004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  <c r="AE243" s="1">
        <f t="shared" si="3"/>
        <v>1750.7</v>
      </c>
    </row>
    <row r="244" spans="1:31" x14ac:dyDescent="0.55000000000000004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  <c r="AE244" s="1">
        <f t="shared" si="3"/>
        <v>1735.9999999999998</v>
      </c>
    </row>
    <row r="245" spans="1:31" x14ac:dyDescent="0.55000000000000004">
      <c r="A245" s="1" t="s">
        <v>30</v>
      </c>
      <c r="B245" s="1">
        <v>2019</v>
      </c>
      <c r="C245" s="1" t="s">
        <v>45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  <c r="AE245" s="1">
        <f t="shared" si="3"/>
        <v>1753.7</v>
      </c>
    </row>
    <row r="246" spans="1:31" x14ac:dyDescent="0.55000000000000004">
      <c r="A246" s="1" t="s">
        <v>33</v>
      </c>
      <c r="B246" s="1">
        <v>2019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  <c r="AE246" s="1">
        <f t="shared" si="3"/>
        <v>1770.3999999999999</v>
      </c>
    </row>
    <row r="247" spans="1:31" x14ac:dyDescent="0.55000000000000004">
      <c r="A247" s="1" t="s">
        <v>34</v>
      </c>
      <c r="B247" s="1">
        <v>2019</v>
      </c>
      <c r="C247" s="1" t="s">
        <v>45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  <c r="AE247" s="1">
        <f t="shared" si="3"/>
        <v>1759</v>
      </c>
    </row>
    <row r="248" spans="1:31" x14ac:dyDescent="0.55000000000000004">
      <c r="A248" s="1" t="s">
        <v>30</v>
      </c>
      <c r="B248" s="1">
        <v>2019</v>
      </c>
      <c r="C248" s="1" t="s">
        <v>46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  <c r="AE248" s="1">
        <f t="shared" si="3"/>
        <v>1786.6999999999996</v>
      </c>
    </row>
    <row r="249" spans="1:31" x14ac:dyDescent="0.55000000000000004">
      <c r="A249" s="1" t="s">
        <v>33</v>
      </c>
      <c r="B249" s="1">
        <v>2019</v>
      </c>
      <c r="C249" s="1" t="s">
        <v>46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  <c r="AE249" s="1">
        <f t="shared" si="3"/>
        <v>1800.4</v>
      </c>
    </row>
    <row r="250" spans="1:31" x14ac:dyDescent="0.55000000000000004">
      <c r="A250" s="1" t="s">
        <v>34</v>
      </c>
      <c r="B250" s="1">
        <v>2019</v>
      </c>
      <c r="C250" s="1" t="s">
        <v>46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  <c r="AE250" s="1">
        <f t="shared" si="3"/>
        <v>1791.1000000000001</v>
      </c>
    </row>
    <row r="251" spans="1:31" x14ac:dyDescent="0.55000000000000004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  <c r="AE251" s="1">
        <f t="shared" si="3"/>
        <v>1785.6</v>
      </c>
    </row>
    <row r="252" spans="1:31" x14ac:dyDescent="0.55000000000000004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  <c r="AE252" s="1">
        <f t="shared" si="3"/>
        <v>1790.9999999999998</v>
      </c>
    </row>
    <row r="253" spans="1:31" x14ac:dyDescent="0.55000000000000004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  <c r="AE253" s="1">
        <f t="shared" si="3"/>
        <v>1786.8999999999999</v>
      </c>
    </row>
    <row r="254" spans="1:31" x14ac:dyDescent="0.55000000000000004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  <c r="AE254" s="1">
        <f t="shared" si="3"/>
        <v>1759.9999999999998</v>
      </c>
    </row>
    <row r="255" spans="1:31" x14ac:dyDescent="0.55000000000000004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  <c r="AE255" s="1">
        <f t="shared" si="3"/>
        <v>1764.8999999999999</v>
      </c>
    </row>
    <row r="256" spans="1:31" x14ac:dyDescent="0.55000000000000004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  <c r="AE256" s="1">
        <f t="shared" si="3"/>
        <v>1761.1</v>
      </c>
    </row>
    <row r="257" spans="1:31" x14ac:dyDescent="0.55000000000000004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  <c r="AE257" s="1">
        <f t="shared" si="3"/>
        <v>1746.3999999999996</v>
      </c>
    </row>
    <row r="258" spans="1:31" x14ac:dyDescent="0.55000000000000004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  <c r="AE258" s="1">
        <f t="shared" si="3"/>
        <v>1748.4</v>
      </c>
    </row>
    <row r="259" spans="1:31" x14ac:dyDescent="0.55000000000000004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  <c r="AE259" s="1">
        <f t="shared" ref="AE259:AE322" si="4">SUM(D259:O259)</f>
        <v>1746.5</v>
      </c>
    </row>
    <row r="260" spans="1:31" x14ac:dyDescent="0.55000000000000004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  <c r="AE260" s="1">
        <f t="shared" si="4"/>
        <v>1464.7000000000003</v>
      </c>
    </row>
    <row r="261" spans="1:31" x14ac:dyDescent="0.55000000000000004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  <c r="AE261" s="1">
        <f t="shared" si="4"/>
        <v>1483.2</v>
      </c>
    </row>
    <row r="262" spans="1:31" x14ac:dyDescent="0.55000000000000004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  <c r="AE262" s="1">
        <f t="shared" si="4"/>
        <v>1471.3</v>
      </c>
    </row>
    <row r="263" spans="1:31" x14ac:dyDescent="0.55000000000000004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  <c r="AE263" s="1">
        <f t="shared" si="4"/>
        <v>0</v>
      </c>
    </row>
    <row r="264" spans="1:31" x14ac:dyDescent="0.55000000000000004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  <c r="AE264" s="1">
        <f t="shared" si="4"/>
        <v>0</v>
      </c>
    </row>
    <row r="265" spans="1:31" x14ac:dyDescent="0.55000000000000004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  <c r="AE265" s="1">
        <f t="shared" si="4"/>
        <v>0</v>
      </c>
    </row>
    <row r="266" spans="1:31" x14ac:dyDescent="0.55000000000000004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  <c r="AE266" s="1">
        <f t="shared" si="4"/>
        <v>1798.7</v>
      </c>
    </row>
    <row r="267" spans="1:31" x14ac:dyDescent="0.55000000000000004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  <c r="AE267" s="1">
        <f t="shared" si="4"/>
        <v>1837.9999999999998</v>
      </c>
    </row>
    <row r="268" spans="1:31" x14ac:dyDescent="0.55000000000000004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  <c r="AE268" s="1">
        <f t="shared" si="4"/>
        <v>1812.8000000000002</v>
      </c>
    </row>
    <row r="269" spans="1:31" x14ac:dyDescent="0.55000000000000004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  <c r="AE269" s="1">
        <f t="shared" si="4"/>
        <v>1798.7</v>
      </c>
    </row>
    <row r="270" spans="1:31" x14ac:dyDescent="0.55000000000000004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  <c r="AE270" s="1">
        <f t="shared" si="4"/>
        <v>1837.9999999999998</v>
      </c>
    </row>
    <row r="271" spans="1:31" x14ac:dyDescent="0.55000000000000004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  <c r="AE271" s="1">
        <f t="shared" si="4"/>
        <v>1812.8000000000002</v>
      </c>
    </row>
    <row r="272" spans="1:31" x14ac:dyDescent="0.55000000000000004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  <c r="AE272" s="1">
        <f t="shared" si="4"/>
        <v>1823.3</v>
      </c>
    </row>
    <row r="273" spans="1:31" x14ac:dyDescent="0.55000000000000004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  <c r="AE273" s="1">
        <f t="shared" si="4"/>
        <v>1864.9999999999998</v>
      </c>
    </row>
    <row r="274" spans="1:31" x14ac:dyDescent="0.55000000000000004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  <c r="AE274" s="1">
        <f t="shared" si="4"/>
        <v>1838.1999999999998</v>
      </c>
    </row>
    <row r="275" spans="1:31" x14ac:dyDescent="0.55000000000000004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  <c r="AE275" s="1">
        <f t="shared" si="4"/>
        <v>1831.3</v>
      </c>
    </row>
    <row r="276" spans="1:31" x14ac:dyDescent="0.55000000000000004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  <c r="AE276" s="1">
        <f t="shared" si="4"/>
        <v>1880.3000000000002</v>
      </c>
    </row>
    <row r="277" spans="1:31" x14ac:dyDescent="0.55000000000000004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  <c r="AE277" s="1">
        <f t="shared" si="4"/>
        <v>1849</v>
      </c>
    </row>
    <row r="278" spans="1:31" x14ac:dyDescent="0.55000000000000004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  <c r="AE278" s="1">
        <f t="shared" si="4"/>
        <v>1871.3000000000002</v>
      </c>
    </row>
    <row r="279" spans="1:31" x14ac:dyDescent="0.55000000000000004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  <c r="AE279" s="1">
        <f t="shared" si="4"/>
        <v>1915.8</v>
      </c>
    </row>
    <row r="280" spans="1:31" x14ac:dyDescent="0.55000000000000004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  <c r="AE280" s="1">
        <f t="shared" si="4"/>
        <v>1887.2000000000003</v>
      </c>
    </row>
    <row r="281" spans="1:31" x14ac:dyDescent="0.55000000000000004">
      <c r="A281" s="1" t="s">
        <v>30</v>
      </c>
      <c r="B281" s="1">
        <v>2020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  <c r="AE281" s="1">
        <f t="shared" si="4"/>
        <v>1919.0000000000002</v>
      </c>
    </row>
    <row r="282" spans="1:31" x14ac:dyDescent="0.55000000000000004">
      <c r="A282" s="1" t="s">
        <v>33</v>
      </c>
      <c r="B282" s="1">
        <v>2020</v>
      </c>
      <c r="C282" s="1" t="s">
        <v>45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  <c r="AE282" s="1">
        <f t="shared" si="4"/>
        <v>1953.7</v>
      </c>
    </row>
    <row r="283" spans="1:31" x14ac:dyDescent="0.55000000000000004">
      <c r="A283" s="1" t="s">
        <v>34</v>
      </c>
      <c r="B283" s="1">
        <v>2020</v>
      </c>
      <c r="C283" s="1" t="s">
        <v>45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  <c r="AE283" s="1">
        <f t="shared" si="4"/>
        <v>1930.9</v>
      </c>
    </row>
    <row r="284" spans="1:31" x14ac:dyDescent="0.55000000000000004">
      <c r="A284" s="1" t="s">
        <v>30</v>
      </c>
      <c r="B284" s="1">
        <v>2020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  <c r="AE284" s="1">
        <f t="shared" si="4"/>
        <v>1936</v>
      </c>
    </row>
    <row r="285" spans="1:31" x14ac:dyDescent="0.55000000000000004">
      <c r="A285" s="1" t="s">
        <v>33</v>
      </c>
      <c r="B285" s="1">
        <v>2020</v>
      </c>
      <c r="C285" s="1" t="s">
        <v>46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  <c r="AE285" s="1">
        <f t="shared" si="4"/>
        <v>1958.4</v>
      </c>
    </row>
    <row r="286" spans="1:31" x14ac:dyDescent="0.55000000000000004">
      <c r="A286" s="1" t="s">
        <v>34</v>
      </c>
      <c r="B286" s="1">
        <v>2020</v>
      </c>
      <c r="C286" s="1" t="s">
        <v>46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  <c r="AE286" s="1">
        <f t="shared" si="4"/>
        <v>1943.7</v>
      </c>
    </row>
    <row r="287" spans="1:31" x14ac:dyDescent="0.55000000000000004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  <c r="AE287" s="1">
        <f t="shared" si="4"/>
        <v>1906.0999999999997</v>
      </c>
    </row>
    <row r="288" spans="1:31" x14ac:dyDescent="0.55000000000000004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  <c r="AE288" s="1">
        <f t="shared" si="4"/>
        <v>1933.6000000000001</v>
      </c>
    </row>
    <row r="289" spans="1:31" x14ac:dyDescent="0.55000000000000004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  <c r="AE289" s="1">
        <f t="shared" si="4"/>
        <v>1915.4999999999998</v>
      </c>
    </row>
    <row r="290" spans="1:31" x14ac:dyDescent="0.55000000000000004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  <c r="AE290" s="1">
        <f t="shared" si="4"/>
        <v>1870.6</v>
      </c>
    </row>
    <row r="291" spans="1:31" x14ac:dyDescent="0.55000000000000004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  <c r="AE291" s="1">
        <f t="shared" si="4"/>
        <v>1905.2</v>
      </c>
    </row>
    <row r="292" spans="1:31" x14ac:dyDescent="0.55000000000000004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  <c r="AE292" s="1">
        <f t="shared" si="4"/>
        <v>1882.4</v>
      </c>
    </row>
    <row r="293" spans="1:31" x14ac:dyDescent="0.55000000000000004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48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  <c r="AE293" s="1">
        <f t="shared" si="4"/>
        <v>1871.2</v>
      </c>
    </row>
    <row r="294" spans="1:31" x14ac:dyDescent="0.55000000000000004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  <c r="AE294" s="1">
        <f t="shared" si="4"/>
        <v>1904.0999999999997</v>
      </c>
    </row>
    <row r="295" spans="1:31" x14ac:dyDescent="0.55000000000000004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  <c r="AE295" s="1">
        <f t="shared" si="4"/>
        <v>1882.6999999999998</v>
      </c>
    </row>
    <row r="296" spans="1:31" x14ac:dyDescent="0.55000000000000004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 t="s">
        <v>48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  <c r="AE296" s="1">
        <f t="shared" si="4"/>
        <v>1893.9</v>
      </c>
    </row>
    <row r="297" spans="1:31" x14ac:dyDescent="0.55000000000000004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  <c r="AE297" s="1">
        <f t="shared" si="4"/>
        <v>1927.6</v>
      </c>
    </row>
    <row r="298" spans="1:31" x14ac:dyDescent="0.55000000000000004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  <c r="AE298" s="1">
        <f t="shared" si="4"/>
        <v>1906.1</v>
      </c>
    </row>
    <row r="299" spans="1:31" x14ac:dyDescent="0.55000000000000004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  <c r="AE299" s="1">
        <f t="shared" si="4"/>
        <v>1936.6</v>
      </c>
    </row>
    <row r="300" spans="1:31" x14ac:dyDescent="0.55000000000000004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  <c r="AE300" s="1">
        <f t="shared" si="4"/>
        <v>1960.5000000000002</v>
      </c>
    </row>
    <row r="301" spans="1:31" x14ac:dyDescent="0.55000000000000004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  <c r="AE301" s="1">
        <f t="shared" si="4"/>
        <v>1945.0000000000002</v>
      </c>
    </row>
    <row r="302" spans="1:31" x14ac:dyDescent="0.55000000000000004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  <c r="AE302" s="1">
        <f t="shared" si="4"/>
        <v>1962.1</v>
      </c>
    </row>
    <row r="303" spans="1:31" x14ac:dyDescent="0.55000000000000004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  <c r="AE303" s="1">
        <f t="shared" si="4"/>
        <v>1988</v>
      </c>
    </row>
    <row r="304" spans="1:31" x14ac:dyDescent="0.55000000000000004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  <c r="AE304" s="1">
        <f t="shared" si="4"/>
        <v>1971.3</v>
      </c>
    </row>
    <row r="305" spans="1:31" x14ac:dyDescent="0.55000000000000004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  <c r="AE305" s="1">
        <f t="shared" si="4"/>
        <v>1970.7</v>
      </c>
    </row>
    <row r="306" spans="1:31" x14ac:dyDescent="0.55000000000000004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  <c r="AE306" s="1">
        <f t="shared" si="4"/>
        <v>2003.9000000000003</v>
      </c>
    </row>
    <row r="307" spans="1:31" x14ac:dyDescent="0.55000000000000004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  <c r="AE307" s="1">
        <f t="shared" si="4"/>
        <v>1983.0000000000002</v>
      </c>
    </row>
    <row r="308" spans="1:31" x14ac:dyDescent="0.55000000000000004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  <c r="AE308" s="1">
        <f t="shared" si="4"/>
        <v>1969</v>
      </c>
    </row>
    <row r="309" spans="1:31" x14ac:dyDescent="0.55000000000000004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  <c r="AE309" s="1">
        <f t="shared" si="4"/>
        <v>1990.6</v>
      </c>
    </row>
    <row r="310" spans="1:31" x14ac:dyDescent="0.55000000000000004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  <c r="AE310" s="1">
        <f t="shared" si="4"/>
        <v>1978.0000000000002</v>
      </c>
    </row>
    <row r="311" spans="1:31" x14ac:dyDescent="0.55000000000000004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  <c r="AE311" s="1">
        <f t="shared" si="4"/>
        <v>1971.5</v>
      </c>
    </row>
    <row r="312" spans="1:31" x14ac:dyDescent="0.55000000000000004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  <c r="AE312" s="1">
        <f t="shared" si="4"/>
        <v>1990.6000000000001</v>
      </c>
    </row>
    <row r="313" spans="1:31" x14ac:dyDescent="0.55000000000000004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  <c r="AE313" s="1">
        <f t="shared" si="4"/>
        <v>1978</v>
      </c>
    </row>
    <row r="314" spans="1:31" x14ac:dyDescent="0.55000000000000004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  <c r="AE314" s="1">
        <f t="shared" si="4"/>
        <v>1998.6999999999998</v>
      </c>
    </row>
    <row r="315" spans="1:31" x14ac:dyDescent="0.55000000000000004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  <c r="AE315" s="1">
        <f t="shared" si="4"/>
        <v>2026.9000000000003</v>
      </c>
    </row>
    <row r="316" spans="1:31" x14ac:dyDescent="0.55000000000000004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  <c r="AE316" s="1">
        <f t="shared" si="4"/>
        <v>2007.8000000000002</v>
      </c>
    </row>
    <row r="317" spans="1:31" x14ac:dyDescent="0.55000000000000004">
      <c r="A317" s="1" t="s">
        <v>30</v>
      </c>
      <c r="B317" s="1">
        <v>2021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  <c r="AE317" s="1">
        <f t="shared" si="4"/>
        <v>2014.5</v>
      </c>
    </row>
    <row r="318" spans="1:31" x14ac:dyDescent="0.55000000000000004">
      <c r="A318" s="1" t="s">
        <v>33</v>
      </c>
      <c r="B318" s="1">
        <v>2021</v>
      </c>
      <c r="C318" s="1" t="s">
        <v>45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  <c r="AE318" s="1">
        <f t="shared" si="4"/>
        <v>2044.3999999999996</v>
      </c>
    </row>
    <row r="319" spans="1:31" x14ac:dyDescent="0.55000000000000004">
      <c r="A319" s="1" t="s">
        <v>34</v>
      </c>
      <c r="B319" s="1">
        <v>2021</v>
      </c>
      <c r="C319" s="1" t="s">
        <v>45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  <c r="AE319" s="1">
        <f t="shared" si="4"/>
        <v>2024.3999999999999</v>
      </c>
    </row>
    <row r="320" spans="1:31" x14ac:dyDescent="0.55000000000000004">
      <c r="A320" s="1" t="s">
        <v>30</v>
      </c>
      <c r="B320" s="1">
        <v>2021</v>
      </c>
      <c r="C320" s="1" t="s">
        <v>46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  <c r="AE320" s="1">
        <f t="shared" si="4"/>
        <v>2002.3999999999999</v>
      </c>
    </row>
    <row r="321" spans="1:31" x14ac:dyDescent="0.55000000000000004">
      <c r="A321" s="1" t="s">
        <v>33</v>
      </c>
      <c r="B321" s="1">
        <v>2021</v>
      </c>
      <c r="C321" s="1" t="s">
        <v>46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  <c r="AE321" s="1">
        <f t="shared" si="4"/>
        <v>2034.1000000000001</v>
      </c>
    </row>
    <row r="322" spans="1:31" x14ac:dyDescent="0.55000000000000004">
      <c r="A322" s="1" t="s">
        <v>34</v>
      </c>
      <c r="B322" s="1">
        <v>2021</v>
      </c>
      <c r="C322" s="1" t="s">
        <v>46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  <c r="AE322" s="1">
        <f t="shared" si="4"/>
        <v>2012.7</v>
      </c>
    </row>
    <row r="323" spans="1:31" x14ac:dyDescent="0.55000000000000004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  <c r="AE323" s="1">
        <f t="shared" ref="AE323:AE373" si="5">SUM(D323:O323)</f>
        <v>1988.8999999999999</v>
      </c>
    </row>
    <row r="324" spans="1:31" x14ac:dyDescent="0.55000000000000004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  <c r="AE324" s="1">
        <f t="shared" si="5"/>
        <v>2016.3999999999996</v>
      </c>
    </row>
    <row r="325" spans="1:31" x14ac:dyDescent="0.55000000000000004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  <c r="AE325" s="1">
        <f t="shared" si="5"/>
        <v>1997.8</v>
      </c>
    </row>
    <row r="326" spans="1:31" x14ac:dyDescent="0.55000000000000004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  <c r="AE326" s="1">
        <f t="shared" si="5"/>
        <v>1986.5</v>
      </c>
    </row>
    <row r="327" spans="1:31" x14ac:dyDescent="0.55000000000000004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  <c r="AE327" s="1">
        <f t="shared" si="5"/>
        <v>2013.3</v>
      </c>
    </row>
    <row r="328" spans="1:31" x14ac:dyDescent="0.55000000000000004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  <c r="AE328" s="1">
        <f t="shared" si="5"/>
        <v>1995.0000000000002</v>
      </c>
    </row>
    <row r="329" spans="1:31" x14ac:dyDescent="0.55000000000000004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  <c r="AE329" s="1">
        <f t="shared" si="5"/>
        <v>2012.5000000000002</v>
      </c>
    </row>
    <row r="330" spans="1:31" x14ac:dyDescent="0.55000000000000004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  <c r="AE330" s="1">
        <f t="shared" si="5"/>
        <v>2024.8000000000002</v>
      </c>
    </row>
    <row r="331" spans="1:31" x14ac:dyDescent="0.55000000000000004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  <c r="AE331" s="1">
        <f t="shared" si="5"/>
        <v>2015.8000000000002</v>
      </c>
    </row>
    <row r="332" spans="1:31" x14ac:dyDescent="0.55000000000000004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  <c r="AE332" s="1">
        <f t="shared" si="5"/>
        <v>2038</v>
      </c>
    </row>
    <row r="333" spans="1:31" x14ac:dyDescent="0.55000000000000004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  <c r="AE333" s="1">
        <f t="shared" si="5"/>
        <v>2055.9</v>
      </c>
    </row>
    <row r="334" spans="1:31" x14ac:dyDescent="0.55000000000000004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  <c r="AE334" s="1">
        <f t="shared" si="5"/>
        <v>2043.5000000000002</v>
      </c>
    </row>
    <row r="335" spans="1:31" x14ac:dyDescent="0.55000000000000004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  <c r="AE335" s="1">
        <f t="shared" si="5"/>
        <v>2056</v>
      </c>
    </row>
    <row r="336" spans="1:31" x14ac:dyDescent="0.55000000000000004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  <c r="AE336" s="1">
        <f t="shared" si="5"/>
        <v>2084.7000000000003</v>
      </c>
    </row>
    <row r="337" spans="1:31" x14ac:dyDescent="0.55000000000000004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  <c r="AE337" s="1">
        <f t="shared" si="5"/>
        <v>2065.6000000000004</v>
      </c>
    </row>
    <row r="338" spans="1:31" x14ac:dyDescent="0.55000000000000004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  <c r="AE338" s="1">
        <f t="shared" si="5"/>
        <v>2075.9</v>
      </c>
    </row>
    <row r="339" spans="1:31" x14ac:dyDescent="0.55000000000000004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  <c r="AE339" s="1">
        <f t="shared" si="5"/>
        <v>2108.1999999999998</v>
      </c>
    </row>
    <row r="340" spans="1:31" x14ac:dyDescent="0.55000000000000004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  <c r="AE340" s="1">
        <f t="shared" si="5"/>
        <v>2087</v>
      </c>
    </row>
    <row r="341" spans="1:31" x14ac:dyDescent="0.55000000000000004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  <c r="AE341" s="1">
        <f t="shared" si="5"/>
        <v>2080</v>
      </c>
    </row>
    <row r="342" spans="1:31" x14ac:dyDescent="0.55000000000000004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  <c r="AE342" s="1">
        <f t="shared" si="5"/>
        <v>2112.1999999999998</v>
      </c>
    </row>
    <row r="343" spans="1:31" x14ac:dyDescent="0.55000000000000004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  <c r="AE343" s="1">
        <f t="shared" si="5"/>
        <v>2091.3000000000002</v>
      </c>
    </row>
    <row r="344" spans="1:31" x14ac:dyDescent="0.55000000000000004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  <c r="AE344" s="1">
        <f t="shared" si="5"/>
        <v>2081.8999999999996</v>
      </c>
    </row>
    <row r="345" spans="1:31" x14ac:dyDescent="0.55000000000000004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  <c r="AE345" s="1">
        <f t="shared" si="5"/>
        <v>2113.2999999999997</v>
      </c>
    </row>
    <row r="346" spans="1:31" x14ac:dyDescent="0.55000000000000004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  <c r="AE346" s="1">
        <f t="shared" si="5"/>
        <v>2092.9</v>
      </c>
    </row>
    <row r="347" spans="1:31" x14ac:dyDescent="0.55000000000000004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  <c r="AE347" s="1">
        <f t="shared" si="5"/>
        <v>2092.3000000000002</v>
      </c>
    </row>
    <row r="348" spans="1:31" x14ac:dyDescent="0.55000000000000004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  <c r="AE348" s="1">
        <f t="shared" si="5"/>
        <v>2124.6</v>
      </c>
    </row>
    <row r="349" spans="1:31" x14ac:dyDescent="0.55000000000000004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  <c r="AE349" s="1">
        <f t="shared" si="5"/>
        <v>2103.1</v>
      </c>
    </row>
    <row r="350" spans="1:31" x14ac:dyDescent="0.55000000000000004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  <c r="AE350" s="1">
        <f t="shared" si="5"/>
        <v>2107.1</v>
      </c>
    </row>
    <row r="351" spans="1:31" x14ac:dyDescent="0.55000000000000004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  <c r="AE351" s="1">
        <f t="shared" si="5"/>
        <v>2139</v>
      </c>
    </row>
    <row r="352" spans="1:31" x14ac:dyDescent="0.55000000000000004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  <c r="AE352" s="1">
        <f t="shared" si="5"/>
        <v>2117.7000000000003</v>
      </c>
    </row>
    <row r="353" spans="1:31" x14ac:dyDescent="0.55000000000000004">
      <c r="A353" s="1" t="s">
        <v>30</v>
      </c>
      <c r="B353" s="1">
        <v>2022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  <c r="AE353" s="1">
        <f t="shared" si="5"/>
        <v>2111.1</v>
      </c>
    </row>
    <row r="354" spans="1:31" x14ac:dyDescent="0.55000000000000004">
      <c r="A354" s="1" t="s">
        <v>33</v>
      </c>
      <c r="B354" s="1">
        <v>2022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  <c r="AE354" s="1">
        <f t="shared" si="5"/>
        <v>2133.1</v>
      </c>
    </row>
    <row r="355" spans="1:31" x14ac:dyDescent="0.55000000000000004">
      <c r="A355" s="1" t="s">
        <v>34</v>
      </c>
      <c r="B355" s="1">
        <v>2022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  <c r="AE355" s="1">
        <f t="shared" si="5"/>
        <v>2118.5</v>
      </c>
    </row>
    <row r="356" spans="1:31" x14ac:dyDescent="0.55000000000000004">
      <c r="A356" s="1" t="s">
        <v>30</v>
      </c>
      <c r="B356" s="1">
        <v>2022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  <c r="AE356" s="1">
        <f t="shared" si="5"/>
        <v>2102.6999999999998</v>
      </c>
    </row>
    <row r="357" spans="1:31" x14ac:dyDescent="0.55000000000000004">
      <c r="A357" s="1" t="s">
        <v>33</v>
      </c>
      <c r="B357" s="1">
        <v>2022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  <c r="AE357" s="1">
        <f t="shared" si="5"/>
        <v>2117.1999999999998</v>
      </c>
    </row>
    <row r="358" spans="1:31" x14ac:dyDescent="0.55000000000000004">
      <c r="A358" s="1" t="s">
        <v>34</v>
      </c>
      <c r="B358" s="1">
        <v>2022</v>
      </c>
      <c r="C358" s="1" t="s">
        <v>46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  <c r="AE358" s="1">
        <f t="shared" si="5"/>
        <v>2107.5</v>
      </c>
    </row>
    <row r="359" spans="1:31" x14ac:dyDescent="0.55000000000000004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  <c r="AE359" s="1">
        <f t="shared" si="5"/>
        <v>2108.2000000000003</v>
      </c>
    </row>
    <row r="360" spans="1:31" x14ac:dyDescent="0.55000000000000004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  <c r="AE360" s="1">
        <f t="shared" si="5"/>
        <v>2130.7000000000003</v>
      </c>
    </row>
    <row r="361" spans="1:31" x14ac:dyDescent="0.55000000000000004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  <c r="AE361" s="1">
        <f t="shared" si="5"/>
        <v>2116</v>
      </c>
    </row>
    <row r="362" spans="1:31" x14ac:dyDescent="0.55000000000000004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  <c r="AE362" s="1">
        <f t="shared" si="5"/>
        <v>2090.8999999999996</v>
      </c>
    </row>
    <row r="363" spans="1:31" x14ac:dyDescent="0.55000000000000004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  <c r="AE363" s="1">
        <f t="shared" si="5"/>
        <v>2122.5</v>
      </c>
    </row>
    <row r="364" spans="1:31" x14ac:dyDescent="0.55000000000000004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  <c r="AE364" s="1">
        <f t="shared" si="5"/>
        <v>2102.1</v>
      </c>
    </row>
    <row r="365" spans="1:31" x14ac:dyDescent="0.55000000000000004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  <c r="AE365" s="1">
        <f t="shared" si="5"/>
        <v>2091</v>
      </c>
    </row>
    <row r="366" spans="1:31" x14ac:dyDescent="0.55000000000000004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  <c r="AE366" s="1">
        <f t="shared" si="5"/>
        <v>2122.6</v>
      </c>
    </row>
    <row r="367" spans="1:31" x14ac:dyDescent="0.55000000000000004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  <c r="AE367" s="1">
        <f t="shared" si="5"/>
        <v>2102.1999999999998</v>
      </c>
    </row>
    <row r="368" spans="1:31" x14ac:dyDescent="0.55000000000000004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48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  <c r="AE368" s="1">
        <f t="shared" si="5"/>
        <v>2098.6999999999998</v>
      </c>
    </row>
    <row r="369" spans="1:31" x14ac:dyDescent="0.55000000000000004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  <c r="AE369" s="1">
        <f t="shared" si="5"/>
        <v>2135.6000000000004</v>
      </c>
    </row>
    <row r="370" spans="1:31" x14ac:dyDescent="0.55000000000000004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  <c r="AE370" s="1">
        <f t="shared" si="5"/>
        <v>2111.7000000000003</v>
      </c>
    </row>
    <row r="371" spans="1:31" x14ac:dyDescent="0.55000000000000004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48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  <c r="AE371" s="1">
        <f t="shared" si="5"/>
        <v>2113.9000000000005</v>
      </c>
    </row>
    <row r="372" spans="1:31" x14ac:dyDescent="0.55000000000000004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  <c r="AE372" s="1">
        <f t="shared" si="5"/>
        <v>2152</v>
      </c>
    </row>
    <row r="373" spans="1:31" x14ac:dyDescent="0.55000000000000004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  <c r="AE373" s="1">
        <f t="shared" si="5"/>
        <v>2127.8000000000002</v>
      </c>
    </row>
  </sheetData>
  <autoFilter ref="A1:AE1" xr:uid="{98587219-0ACF-43F3-82C1-8CF77D3345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03EB-5F6A-486F-95AA-8C85EA12C490}">
  <dimension ref="A2:N51"/>
  <sheetViews>
    <sheetView topLeftCell="A4" zoomScale="74" zoomScaleNormal="74" workbookViewId="0">
      <selection activeCell="N11" sqref="N11"/>
    </sheetView>
  </sheetViews>
  <sheetFormatPr defaultRowHeight="14.4" x14ac:dyDescent="0.55000000000000004"/>
  <cols>
    <col min="1" max="1" width="30.26171875" customWidth="1"/>
    <col min="2" max="14" width="17.578125" customWidth="1"/>
  </cols>
  <sheetData>
    <row r="2" spans="1:14" x14ac:dyDescent="0.55000000000000004">
      <c r="A2" s="5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x14ac:dyDescent="0.55000000000000004">
      <c r="A3" s="57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19.8" x14ac:dyDescent="0.65">
      <c r="A4" s="58"/>
      <c r="B4" s="55"/>
      <c r="C4" s="55"/>
      <c r="D4" s="55"/>
      <c r="E4" s="56" t="s">
        <v>81</v>
      </c>
      <c r="F4" s="55"/>
      <c r="G4" s="55"/>
      <c r="H4" s="55"/>
      <c r="I4" s="55"/>
      <c r="J4" s="55"/>
      <c r="K4" s="55"/>
      <c r="L4" s="55"/>
      <c r="M4" s="55"/>
      <c r="N4" s="55"/>
    </row>
    <row r="5" spans="1:14" x14ac:dyDescent="0.55000000000000004">
      <c r="A5" s="58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1:14" ht="17.7" x14ac:dyDescent="0.6">
      <c r="A6" s="29" t="s">
        <v>134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x14ac:dyDescent="0.55000000000000004">
      <c r="A7" s="88" t="s">
        <v>83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 ht="17.399999999999999" x14ac:dyDescent="0.55000000000000004">
      <c r="A8" s="89" t="s">
        <v>84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</row>
    <row r="9" spans="1:14" ht="17.399999999999999" x14ac:dyDescent="0.55000000000000004">
      <c r="A9" s="32" t="s">
        <v>85</v>
      </c>
      <c r="B9" s="33" t="s">
        <v>86</v>
      </c>
      <c r="C9" s="33" t="s">
        <v>87</v>
      </c>
      <c r="D9" s="33" t="s">
        <v>88</v>
      </c>
      <c r="E9" s="33" t="s">
        <v>89</v>
      </c>
      <c r="F9" s="33" t="s">
        <v>90</v>
      </c>
      <c r="G9" s="33" t="s">
        <v>91</v>
      </c>
      <c r="H9" s="33" t="s">
        <v>92</v>
      </c>
      <c r="I9" s="33" t="s">
        <v>93</v>
      </c>
      <c r="J9" s="33" t="s">
        <v>94</v>
      </c>
      <c r="K9" s="33" t="s">
        <v>95</v>
      </c>
      <c r="L9" s="33" t="s">
        <v>96</v>
      </c>
      <c r="M9" s="33" t="s">
        <v>97</v>
      </c>
      <c r="N9" s="33" t="s">
        <v>98</v>
      </c>
    </row>
    <row r="10" spans="1:14" ht="15.3" x14ac:dyDescent="0.55000000000000004">
      <c r="A10" s="34" t="s">
        <v>99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ht="15.3" x14ac:dyDescent="0.55000000000000004">
      <c r="A11" s="36" t="s">
        <v>100</v>
      </c>
      <c r="B11" s="37">
        <v>63309.498622749867</v>
      </c>
      <c r="C11" s="37">
        <v>60800.383481587211</v>
      </c>
      <c r="D11" s="37">
        <v>61073.298999169296</v>
      </c>
      <c r="E11" s="37">
        <v>59460.950438057756</v>
      </c>
      <c r="F11" s="37">
        <v>67310.659830633638</v>
      </c>
      <c r="G11" s="37">
        <v>69109.876194440018</v>
      </c>
      <c r="H11" s="37">
        <v>72054.19693085934</v>
      </c>
      <c r="I11" s="37">
        <v>79009.388695268004</v>
      </c>
      <c r="J11" s="37">
        <v>81771.141778992853</v>
      </c>
      <c r="K11" s="37">
        <v>86692.515382787504</v>
      </c>
      <c r="L11" s="37">
        <v>87441.416368947481</v>
      </c>
      <c r="M11" s="37">
        <v>113228.86524779514</v>
      </c>
      <c r="N11" s="38">
        <f>SUM(B11:M11)</f>
        <v>901262.19197128818</v>
      </c>
    </row>
    <row r="12" spans="1:14" ht="15.3" x14ac:dyDescent="0.55000000000000004">
      <c r="A12" s="36" t="s">
        <v>101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</row>
    <row r="13" spans="1:14" x14ac:dyDescent="0.55000000000000004">
      <c r="A13" s="39" t="s">
        <v>102</v>
      </c>
      <c r="B13" s="37">
        <v>4331.0805045535817</v>
      </c>
      <c r="C13" s="37">
        <v>3901.8497085357071</v>
      </c>
      <c r="D13" s="37">
        <v>5595.704520158647</v>
      </c>
      <c r="E13" s="37">
        <v>6495.7335331540489</v>
      </c>
      <c r="F13" s="37">
        <v>8248.4288123209008</v>
      </c>
      <c r="G13" s="37">
        <v>7704.7650736206797</v>
      </c>
      <c r="H13" s="37">
        <v>9772.1868439781229</v>
      </c>
      <c r="I13" s="37">
        <v>10281.785349314856</v>
      </c>
      <c r="J13" s="37">
        <v>9846.5423623025563</v>
      </c>
      <c r="K13" s="37">
        <v>7748.1723591628743</v>
      </c>
      <c r="L13" s="37">
        <v>7419.0823997762782</v>
      </c>
      <c r="M13" s="37">
        <v>10123.066217309477</v>
      </c>
      <c r="N13" s="38">
        <f t="shared" ref="N13:N23" si="0">SUM(B13:M13)</f>
        <v>91468.397684187716</v>
      </c>
    </row>
    <row r="14" spans="1:14" x14ac:dyDescent="0.55000000000000004">
      <c r="A14" s="40" t="s">
        <v>103</v>
      </c>
      <c r="B14" s="37">
        <v>349.4550366345606</v>
      </c>
      <c r="C14" s="37">
        <v>0</v>
      </c>
      <c r="D14" s="37">
        <v>0</v>
      </c>
      <c r="E14" s="37">
        <v>0.14789540000000001</v>
      </c>
      <c r="F14" s="37">
        <v>0</v>
      </c>
      <c r="G14" s="37">
        <v>592.97964412445003</v>
      </c>
      <c r="H14" s="37">
        <v>2753.5997885095185</v>
      </c>
      <c r="I14" s="37">
        <v>198.40835123955645</v>
      </c>
      <c r="J14" s="37">
        <v>0.13733629999999999</v>
      </c>
      <c r="K14" s="37">
        <v>0</v>
      </c>
      <c r="L14" s="37">
        <v>7.4936600000000006E-2</v>
      </c>
      <c r="M14" s="37">
        <v>0</v>
      </c>
      <c r="N14" s="38">
        <f t="shared" si="0"/>
        <v>3894.802988808085</v>
      </c>
    </row>
    <row r="15" spans="1:14" x14ac:dyDescent="0.55000000000000004">
      <c r="A15" s="39" t="s">
        <v>104</v>
      </c>
      <c r="B15" s="37">
        <v>169.3745448352459</v>
      </c>
      <c r="C15" s="37">
        <v>179.870949</v>
      </c>
      <c r="D15" s="37">
        <v>184.24156441702931</v>
      </c>
      <c r="E15" s="37">
        <v>0</v>
      </c>
      <c r="F15" s="37">
        <v>0</v>
      </c>
      <c r="G15" s="37">
        <v>0</v>
      </c>
      <c r="H15" s="37">
        <v>0</v>
      </c>
      <c r="I15" s="37">
        <v>121.39173630000001</v>
      </c>
      <c r="J15" s="37">
        <v>0</v>
      </c>
      <c r="K15" s="37">
        <v>0</v>
      </c>
      <c r="L15" s="37">
        <v>0</v>
      </c>
      <c r="M15" s="37">
        <v>843.91668989999994</v>
      </c>
      <c r="N15" s="38">
        <f t="shared" si="0"/>
        <v>1498.7954844522751</v>
      </c>
    </row>
    <row r="16" spans="1:14" x14ac:dyDescent="0.55000000000000004">
      <c r="A16" s="39" t="s">
        <v>105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8">
        <f t="shared" si="0"/>
        <v>0</v>
      </c>
    </row>
    <row r="17" spans="1:14" x14ac:dyDescent="0.55000000000000004">
      <c r="A17" s="40" t="s">
        <v>106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8">
        <f t="shared" si="0"/>
        <v>0</v>
      </c>
    </row>
    <row r="18" spans="1:14" x14ac:dyDescent="0.55000000000000004">
      <c r="A18" s="39" t="s">
        <v>107</v>
      </c>
      <c r="B18" s="37">
        <v>10.8569897</v>
      </c>
      <c r="C18" s="37">
        <v>19.542610300000003</v>
      </c>
      <c r="D18" s="37">
        <v>6.5960564000000002</v>
      </c>
      <c r="E18" s="37">
        <v>4.8623181000000004</v>
      </c>
      <c r="F18" s="37">
        <v>20.7515882</v>
      </c>
      <c r="G18" s="37">
        <v>21.584827699999998</v>
      </c>
      <c r="H18" s="37">
        <v>10.921708600000001</v>
      </c>
      <c r="I18" s="37">
        <v>35.7928821</v>
      </c>
      <c r="J18" s="37">
        <v>30.897298999999997</v>
      </c>
      <c r="K18" s="37">
        <v>17.471872600000001</v>
      </c>
      <c r="L18" s="37">
        <v>35.573634900000002</v>
      </c>
      <c r="M18" s="37">
        <v>38.134251599999999</v>
      </c>
      <c r="N18" s="38">
        <f t="shared" si="0"/>
        <v>252.98603920000002</v>
      </c>
    </row>
    <row r="19" spans="1:14" x14ac:dyDescent="0.55000000000000004">
      <c r="A19" s="39" t="s">
        <v>108</v>
      </c>
      <c r="B19" s="37">
        <v>1866.1582330269998</v>
      </c>
      <c r="C19" s="37">
        <v>1665.0693524753249</v>
      </c>
      <c r="D19" s="37">
        <v>1332.6023745</v>
      </c>
      <c r="E19" s="37">
        <v>1368.84348327055</v>
      </c>
      <c r="F19" s="37">
        <v>1584.2582096367328</v>
      </c>
      <c r="G19" s="37">
        <v>1559.2016386314169</v>
      </c>
      <c r="H19" s="37">
        <v>2181.2363866461196</v>
      </c>
      <c r="I19" s="37">
        <v>1442.3871379244001</v>
      </c>
      <c r="J19" s="37">
        <v>2130.4848044455671</v>
      </c>
      <c r="K19" s="37">
        <v>1053.875039</v>
      </c>
      <c r="L19" s="37">
        <v>1459.0109165000001</v>
      </c>
      <c r="M19" s="37">
        <v>2061.1262651000002</v>
      </c>
      <c r="N19" s="38">
        <f t="shared" si="0"/>
        <v>19704.253841157111</v>
      </c>
    </row>
    <row r="20" spans="1:14" x14ac:dyDescent="0.55000000000000004">
      <c r="A20" s="39" t="s">
        <v>109</v>
      </c>
      <c r="B20" s="37">
        <v>2288.4191319281085</v>
      </c>
      <c r="C20" s="37">
        <v>1770.472859400174</v>
      </c>
      <c r="D20" s="37">
        <v>1770.7152182333036</v>
      </c>
      <c r="E20" s="37">
        <v>3191.2333356598238</v>
      </c>
      <c r="F20" s="37">
        <v>2269.8730316273113</v>
      </c>
      <c r="G20" s="37">
        <v>1392.653815630355</v>
      </c>
      <c r="H20" s="37">
        <v>2786.0343695399292</v>
      </c>
      <c r="I20" s="37">
        <v>2071.8881447993331</v>
      </c>
      <c r="J20" s="37">
        <v>3041.794156568681</v>
      </c>
      <c r="K20" s="37">
        <v>2976.1114047939245</v>
      </c>
      <c r="L20" s="37">
        <v>3784.2554105473382</v>
      </c>
      <c r="M20" s="37">
        <v>5471.3310131703438</v>
      </c>
      <c r="N20" s="38">
        <f t="shared" si="0"/>
        <v>32814.78189189863</v>
      </c>
    </row>
    <row r="21" spans="1:14" x14ac:dyDescent="0.55000000000000004">
      <c r="A21" s="39" t="s">
        <v>110</v>
      </c>
      <c r="B21" s="37">
        <v>844.60629867400007</v>
      </c>
      <c r="C21" s="37">
        <v>680.32935089999989</v>
      </c>
      <c r="D21" s="37">
        <v>537.62193709999997</v>
      </c>
      <c r="E21" s="37">
        <v>406.94049250000006</v>
      </c>
      <c r="F21" s="37">
        <v>303.7964078</v>
      </c>
      <c r="G21" s="37">
        <v>405.42638069999998</v>
      </c>
      <c r="H21" s="37">
        <v>524.57537400000001</v>
      </c>
      <c r="I21" s="37">
        <v>635.58945960000005</v>
      </c>
      <c r="J21" s="37">
        <v>838.66889880000008</v>
      </c>
      <c r="K21" s="37">
        <v>738.91371020000008</v>
      </c>
      <c r="L21" s="37">
        <v>744.02557439999998</v>
      </c>
      <c r="M21" s="37">
        <v>1017.5288219</v>
      </c>
      <c r="N21" s="38">
        <f t="shared" si="0"/>
        <v>7678.022706574</v>
      </c>
    </row>
    <row r="22" spans="1:14" x14ac:dyDescent="0.55000000000000004">
      <c r="A22" s="39" t="s">
        <v>111</v>
      </c>
      <c r="B22" s="37">
        <v>62.365735700000002</v>
      </c>
      <c r="C22" s="37">
        <v>347.47160120000001</v>
      </c>
      <c r="D22" s="37">
        <v>352.19205570000003</v>
      </c>
      <c r="E22" s="37">
        <v>618.59161559999995</v>
      </c>
      <c r="F22" s="37">
        <v>299.97308129999999</v>
      </c>
      <c r="G22" s="37">
        <v>360.67321450000003</v>
      </c>
      <c r="H22" s="37">
        <v>595.86901400000011</v>
      </c>
      <c r="I22" s="37">
        <v>717.38930750000009</v>
      </c>
      <c r="J22" s="37">
        <v>1775.9366044999997</v>
      </c>
      <c r="K22" s="37">
        <v>1478.84619</v>
      </c>
      <c r="L22" s="37">
        <v>866.01488240000003</v>
      </c>
      <c r="M22" s="37">
        <v>727.93527269999993</v>
      </c>
      <c r="N22" s="38">
        <f t="shared" si="0"/>
        <v>8203.2585750999988</v>
      </c>
    </row>
    <row r="23" spans="1:14" x14ac:dyDescent="0.55000000000000004">
      <c r="A23" s="39" t="s">
        <v>112</v>
      </c>
      <c r="B23" s="37">
        <v>975.83005848740117</v>
      </c>
      <c r="C23" s="37">
        <v>681.40746086502554</v>
      </c>
      <c r="D23" s="37">
        <v>826.37618810959998</v>
      </c>
      <c r="E23" s="37">
        <v>1313.1363583684201</v>
      </c>
      <c r="F23" s="37">
        <v>945.27455147540536</v>
      </c>
      <c r="G23" s="37">
        <v>1888.0131172297019</v>
      </c>
      <c r="H23" s="37">
        <v>792.89357942084951</v>
      </c>
      <c r="I23" s="37">
        <v>591.43079914600003</v>
      </c>
      <c r="J23" s="37">
        <v>944.92476746126067</v>
      </c>
      <c r="K23" s="37">
        <v>1122.3829191537041</v>
      </c>
      <c r="L23" s="37">
        <v>568.2339096431499</v>
      </c>
      <c r="M23" s="37">
        <v>669.57355550250008</v>
      </c>
      <c r="N23" s="38">
        <f t="shared" si="0"/>
        <v>11319.477264863019</v>
      </c>
    </row>
    <row r="24" spans="1:14" ht="15.3" x14ac:dyDescent="0.55000000000000004">
      <c r="A24" s="41" t="s">
        <v>113</v>
      </c>
      <c r="B24" s="42">
        <f t="shared" ref="B24:N24" si="1">SUM(B13:B23)</f>
        <v>10898.146533539897</v>
      </c>
      <c r="C24" s="42">
        <f t="shared" si="1"/>
        <v>9246.0138926762338</v>
      </c>
      <c r="D24" s="42">
        <f t="shared" si="1"/>
        <v>10606.049914618579</v>
      </c>
      <c r="E24" s="42">
        <f t="shared" si="1"/>
        <v>13399.489032052843</v>
      </c>
      <c r="F24" s="42">
        <f t="shared" si="1"/>
        <v>13672.355682360352</v>
      </c>
      <c r="G24" s="42">
        <f t="shared" si="1"/>
        <v>13925.297712136608</v>
      </c>
      <c r="H24" s="42">
        <f t="shared" si="1"/>
        <v>19417.31706469454</v>
      </c>
      <c r="I24" s="42">
        <f t="shared" si="1"/>
        <v>16096.063167924145</v>
      </c>
      <c r="J24" s="42">
        <f t="shared" si="1"/>
        <v>18609.386229378066</v>
      </c>
      <c r="K24" s="42">
        <f t="shared" si="1"/>
        <v>15135.773494910503</v>
      </c>
      <c r="L24" s="42">
        <f t="shared" si="1"/>
        <v>14876.271664766766</v>
      </c>
      <c r="M24" s="42">
        <f t="shared" si="1"/>
        <v>20952.612087182319</v>
      </c>
      <c r="N24" s="42">
        <f t="shared" si="1"/>
        <v>176834.77647624083</v>
      </c>
    </row>
    <row r="25" spans="1:14" ht="15.3" x14ac:dyDescent="0.55000000000000004">
      <c r="A25" s="43" t="s">
        <v>114</v>
      </c>
      <c r="B25" s="42">
        <f>+B24+B11</f>
        <v>74207.645156289771</v>
      </c>
      <c r="C25" s="42">
        <f>+C24+C11</f>
        <v>70046.397374263441</v>
      </c>
      <c r="D25" s="42">
        <f>+D24+D11</f>
        <v>71679.348913787879</v>
      </c>
      <c r="E25" s="42">
        <f>+E24+E11</f>
        <v>72860.439470110607</v>
      </c>
      <c r="F25" s="42">
        <f>+F24+F11</f>
        <v>80983.015512993996</v>
      </c>
      <c r="G25" s="42">
        <f t="shared" ref="G25:N25" si="2">+G11+G24</f>
        <v>83035.173906576631</v>
      </c>
      <c r="H25" s="42">
        <f t="shared" si="2"/>
        <v>91471.513995553876</v>
      </c>
      <c r="I25" s="42">
        <f t="shared" si="2"/>
        <v>95105.451863192153</v>
      </c>
      <c r="J25" s="42">
        <f t="shared" si="2"/>
        <v>100380.52800837092</v>
      </c>
      <c r="K25" s="42">
        <f t="shared" si="2"/>
        <v>101828.28887769801</v>
      </c>
      <c r="L25" s="42">
        <f t="shared" si="2"/>
        <v>102317.68803371425</v>
      </c>
      <c r="M25" s="42">
        <f t="shared" si="2"/>
        <v>134181.47733497745</v>
      </c>
      <c r="N25" s="42">
        <f t="shared" si="2"/>
        <v>1078096.968447529</v>
      </c>
    </row>
    <row r="26" spans="1:14" ht="15.3" x14ac:dyDescent="0.55000000000000004">
      <c r="A26" s="44" t="s">
        <v>115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8"/>
    </row>
    <row r="27" spans="1:14" x14ac:dyDescent="0.55000000000000004">
      <c r="A27" s="45" t="s">
        <v>102</v>
      </c>
      <c r="B27" s="37">
        <v>232.1362244</v>
      </c>
      <c r="C27" s="37">
        <v>247.8726825</v>
      </c>
      <c r="D27" s="37">
        <v>174.2045129</v>
      </c>
      <c r="E27" s="37">
        <v>164.31052339999999</v>
      </c>
      <c r="F27" s="37">
        <v>242.75606210000001</v>
      </c>
      <c r="G27" s="37">
        <v>263.90850289999997</v>
      </c>
      <c r="H27" s="37">
        <v>265.21134849999999</v>
      </c>
      <c r="I27" s="37">
        <v>326.87478720000001</v>
      </c>
      <c r="J27" s="37">
        <v>377.79334549999999</v>
      </c>
      <c r="K27" s="37">
        <v>349.24289379999999</v>
      </c>
      <c r="L27" s="37">
        <v>302.89777729999997</v>
      </c>
      <c r="M27" s="37">
        <v>266.37377809999998</v>
      </c>
      <c r="N27" s="38">
        <f t="shared" ref="N27:N38" si="3">SUM(B27:M27)</f>
        <v>3213.5824386000004</v>
      </c>
    </row>
    <row r="28" spans="1:14" x14ac:dyDescent="0.55000000000000004">
      <c r="A28" s="46" t="s">
        <v>116</v>
      </c>
      <c r="B28" s="37">
        <v>4405.4636600250005</v>
      </c>
      <c r="C28" s="37">
        <v>6512.2124041550569</v>
      </c>
      <c r="D28" s="37">
        <v>5894.791507827048</v>
      </c>
      <c r="E28" s="37">
        <v>5486.9030957477071</v>
      </c>
      <c r="F28" s="37">
        <v>4714.7809591060004</v>
      </c>
      <c r="G28" s="37">
        <v>4648.2508255323673</v>
      </c>
      <c r="H28" s="37">
        <v>6265.8855519873969</v>
      </c>
      <c r="I28" s="37">
        <v>6181.9330105634999</v>
      </c>
      <c r="J28" s="37">
        <v>7997.3763941067664</v>
      </c>
      <c r="K28" s="37">
        <v>7040.819287014001</v>
      </c>
      <c r="L28" s="37">
        <v>8675.3499360199712</v>
      </c>
      <c r="M28" s="37">
        <v>13824.841046345849</v>
      </c>
      <c r="N28" s="38">
        <f t="shared" si="3"/>
        <v>81648.607678430679</v>
      </c>
    </row>
    <row r="29" spans="1:14" x14ac:dyDescent="0.55000000000000004">
      <c r="A29" s="45" t="s">
        <v>117</v>
      </c>
      <c r="B29" s="37">
        <v>1936.3570467834807</v>
      </c>
      <c r="C29" s="37">
        <v>2184.3757235447501</v>
      </c>
      <c r="D29" s="37">
        <v>2867.2175609455999</v>
      </c>
      <c r="E29" s="37">
        <v>2410.0106215043625</v>
      </c>
      <c r="F29" s="37">
        <v>3074.6301026091796</v>
      </c>
      <c r="G29" s="37">
        <v>3259.2608494491869</v>
      </c>
      <c r="H29" s="37">
        <v>3027.843072690383</v>
      </c>
      <c r="I29" s="37">
        <v>3413.5411311686003</v>
      </c>
      <c r="J29" s="37">
        <v>3457.3273850072305</v>
      </c>
      <c r="K29" s="37">
        <v>2885.8880146904798</v>
      </c>
      <c r="L29" s="37">
        <v>2792.9086558151998</v>
      </c>
      <c r="M29" s="37">
        <v>5921.9597127919988</v>
      </c>
      <c r="N29" s="38">
        <f t="shared" si="3"/>
        <v>37231.319877000453</v>
      </c>
    </row>
    <row r="30" spans="1:14" x14ac:dyDescent="0.55000000000000004">
      <c r="A30" s="45" t="s">
        <v>118</v>
      </c>
      <c r="B30" s="37">
        <v>1054.046287482</v>
      </c>
      <c r="C30" s="37">
        <v>1700.809281238</v>
      </c>
      <c r="D30" s="37">
        <v>2085.9260185996818</v>
      </c>
      <c r="E30" s="37">
        <v>1521.1799402474192</v>
      </c>
      <c r="F30" s="37">
        <v>1389.7582930160002</v>
      </c>
      <c r="G30" s="37">
        <v>1281.2574352668096</v>
      </c>
      <c r="H30" s="37">
        <v>2439.0396655186005</v>
      </c>
      <c r="I30" s="37">
        <v>2905.1334746368002</v>
      </c>
      <c r="J30" s="37">
        <v>2768.224577091416</v>
      </c>
      <c r="K30" s="37">
        <v>2525.3479926999998</v>
      </c>
      <c r="L30" s="37">
        <v>2627.921983832</v>
      </c>
      <c r="M30" s="37">
        <v>4813.0825066487769</v>
      </c>
      <c r="N30" s="38">
        <f t="shared" si="3"/>
        <v>27111.727456277506</v>
      </c>
    </row>
    <row r="31" spans="1:14" x14ac:dyDescent="0.55000000000000004">
      <c r="A31" s="40" t="s">
        <v>106</v>
      </c>
      <c r="B31" s="37">
        <v>6.0118874</v>
      </c>
      <c r="C31" s="37">
        <v>5.899197</v>
      </c>
      <c r="D31" s="37">
        <v>8.8274250999999992</v>
      </c>
      <c r="E31" s="37">
        <v>5.6966828999999999</v>
      </c>
      <c r="F31" s="37">
        <v>3.2972660999999999</v>
      </c>
      <c r="G31" s="37">
        <v>5.3375459999999997</v>
      </c>
      <c r="H31" s="37">
        <v>5.4742503999999998</v>
      </c>
      <c r="I31" s="37">
        <v>8.0263913999999996</v>
      </c>
      <c r="J31" s="37">
        <v>7.4064674999999998</v>
      </c>
      <c r="K31" s="37">
        <v>6.8083255999999999</v>
      </c>
      <c r="L31" s="37">
        <v>6.6603481999999996</v>
      </c>
      <c r="M31" s="37">
        <v>7.4723943000000004</v>
      </c>
      <c r="N31" s="38">
        <f t="shared" si="3"/>
        <v>76.918181900000008</v>
      </c>
    </row>
    <row r="32" spans="1:14" x14ac:dyDescent="0.55000000000000004">
      <c r="A32" s="39" t="s">
        <v>107</v>
      </c>
      <c r="B32" s="37">
        <v>7212.999099310061</v>
      </c>
      <c r="C32" s="37">
        <v>11833.966427543517</v>
      </c>
      <c r="D32" s="37">
        <v>12122.688467489328</v>
      </c>
      <c r="E32" s="37">
        <v>10066.060952620057</v>
      </c>
      <c r="F32" s="37">
        <v>11127.397368607577</v>
      </c>
      <c r="G32" s="37">
        <v>12496.824887223802</v>
      </c>
      <c r="H32" s="37">
        <v>15298.121776823842</v>
      </c>
      <c r="I32" s="37">
        <v>14150.786669754598</v>
      </c>
      <c r="J32" s="37">
        <v>14804.945308560058</v>
      </c>
      <c r="K32" s="37">
        <v>14187.666975430386</v>
      </c>
      <c r="L32" s="37">
        <v>14940.455816372309</v>
      </c>
      <c r="M32" s="37">
        <v>26499.334133651955</v>
      </c>
      <c r="N32" s="38">
        <f t="shared" si="3"/>
        <v>164741.24788338749</v>
      </c>
    </row>
    <row r="33" spans="1:14" x14ac:dyDescent="0.55000000000000004">
      <c r="A33" s="39" t="s">
        <v>119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0.111848</v>
      </c>
      <c r="K33" s="37">
        <v>0.109641</v>
      </c>
      <c r="L33" s="37">
        <v>0</v>
      </c>
      <c r="M33" s="37">
        <v>0</v>
      </c>
      <c r="N33" s="38">
        <f t="shared" si="3"/>
        <v>0.22148899999999999</v>
      </c>
    </row>
    <row r="34" spans="1:14" x14ac:dyDescent="0.55000000000000004">
      <c r="A34" s="39" t="s">
        <v>120</v>
      </c>
      <c r="B34" s="37">
        <v>3.33</v>
      </c>
      <c r="C34" s="37">
        <v>0.79</v>
      </c>
      <c r="D34" s="37">
        <v>6.01</v>
      </c>
      <c r="E34" s="37">
        <v>3.1100000000000003</v>
      </c>
      <c r="F34" s="37">
        <v>7.83</v>
      </c>
      <c r="G34" s="37">
        <v>5.5</v>
      </c>
      <c r="H34" s="37">
        <v>4.8500000000000005</v>
      </c>
      <c r="I34" s="37">
        <v>5.6899999999999995</v>
      </c>
      <c r="J34" s="37">
        <v>16.72</v>
      </c>
      <c r="K34" s="37">
        <v>6.04</v>
      </c>
      <c r="L34" s="37">
        <v>34.94</v>
      </c>
      <c r="M34" s="37">
        <v>19.643119980000002</v>
      </c>
      <c r="N34" s="38">
        <f t="shared" si="3"/>
        <v>114.45311998</v>
      </c>
    </row>
    <row r="35" spans="1:14" x14ac:dyDescent="0.55000000000000004">
      <c r="A35" s="39" t="s">
        <v>109</v>
      </c>
      <c r="B35" s="37">
        <v>287.78608955799996</v>
      </c>
      <c r="C35" s="37">
        <v>774.17463216199997</v>
      </c>
      <c r="D35" s="37">
        <v>654.58600609999996</v>
      </c>
      <c r="E35" s="37">
        <v>1063.5743677</v>
      </c>
      <c r="F35" s="37">
        <v>574.95720140000003</v>
      </c>
      <c r="G35" s="37">
        <v>503.14039436967505</v>
      </c>
      <c r="H35" s="37">
        <v>450.89345987251664</v>
      </c>
      <c r="I35" s="37">
        <v>265.32013119999999</v>
      </c>
      <c r="J35" s="37">
        <v>480.72942020000005</v>
      </c>
      <c r="K35" s="37">
        <v>617.62004400000001</v>
      </c>
      <c r="L35" s="37">
        <v>400.7434773</v>
      </c>
      <c r="M35" s="37">
        <v>559.55449659999999</v>
      </c>
      <c r="N35" s="38">
        <f t="shared" si="3"/>
        <v>6633.0797204621922</v>
      </c>
    </row>
    <row r="36" spans="1:14" x14ac:dyDescent="0.55000000000000004">
      <c r="A36" s="39" t="s">
        <v>110</v>
      </c>
      <c r="B36" s="37">
        <v>0.7120126</v>
      </c>
      <c r="C36" s="37">
        <v>0</v>
      </c>
      <c r="D36" s="37">
        <v>0</v>
      </c>
      <c r="E36" s="37">
        <v>0</v>
      </c>
      <c r="F36" s="37">
        <v>0</v>
      </c>
      <c r="G36" s="37">
        <v>8.6388581000000002</v>
      </c>
      <c r="H36" s="37">
        <v>18.512186200000002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8">
        <f t="shared" si="3"/>
        <v>27.863056900000004</v>
      </c>
    </row>
    <row r="37" spans="1:14" x14ac:dyDescent="0.55000000000000004">
      <c r="A37" s="39" t="s">
        <v>121</v>
      </c>
      <c r="B37" s="37">
        <v>2.5674964</v>
      </c>
      <c r="C37" s="37">
        <v>0.40168055000000003</v>
      </c>
      <c r="D37" s="37">
        <v>0.7957958799999999</v>
      </c>
      <c r="E37" s="37">
        <v>0.63448767300000009</v>
      </c>
      <c r="F37" s="37">
        <v>148.598040768</v>
      </c>
      <c r="G37" s="37">
        <v>158.32308773699998</v>
      </c>
      <c r="H37" s="37">
        <v>190.77251081200001</v>
      </c>
      <c r="I37" s="37">
        <v>0</v>
      </c>
      <c r="J37" s="37">
        <v>0.41038355399999998</v>
      </c>
      <c r="K37" s="37">
        <v>0</v>
      </c>
      <c r="L37" s="37">
        <v>33.299999999999997</v>
      </c>
      <c r="M37" s="37">
        <v>17.512614849999999</v>
      </c>
      <c r="N37" s="38">
        <f t="shared" si="3"/>
        <v>553.31609822399992</v>
      </c>
    </row>
    <row r="38" spans="1:14" x14ac:dyDescent="0.55000000000000004">
      <c r="A38" s="39" t="s">
        <v>122</v>
      </c>
      <c r="B38" s="37">
        <v>1006.2859617869999</v>
      </c>
      <c r="C38" s="37">
        <v>1112.8164521980998</v>
      </c>
      <c r="D38" s="37">
        <v>971.15314879386574</v>
      </c>
      <c r="E38" s="37">
        <v>1088.2538267632899</v>
      </c>
      <c r="F38" s="37">
        <v>405.77332243820285</v>
      </c>
      <c r="G38" s="37">
        <v>567.88159793166938</v>
      </c>
      <c r="H38" s="37">
        <v>832.52430698894898</v>
      </c>
      <c r="I38" s="37">
        <v>588.7074272509999</v>
      </c>
      <c r="J38" s="37">
        <v>743.13619608390002</v>
      </c>
      <c r="K38" s="37">
        <v>1062.0379159210001</v>
      </c>
      <c r="L38" s="37">
        <v>851.2908468201224</v>
      </c>
      <c r="M38" s="37">
        <v>1218.8039141556874</v>
      </c>
      <c r="N38" s="38">
        <f t="shared" si="3"/>
        <v>10448.664917132786</v>
      </c>
    </row>
    <row r="39" spans="1:14" ht="15.3" x14ac:dyDescent="0.55000000000000004">
      <c r="A39" s="47" t="s">
        <v>123</v>
      </c>
      <c r="B39" s="42">
        <f t="shared" ref="B39:N39" si="4">SUM(B27:B38)</f>
        <v>16147.695765745542</v>
      </c>
      <c r="C39" s="42">
        <f t="shared" si="4"/>
        <v>24373.31848089143</v>
      </c>
      <c r="D39" s="42">
        <f t="shared" si="4"/>
        <v>24786.200443635524</v>
      </c>
      <c r="E39" s="42">
        <f t="shared" si="4"/>
        <v>21809.734498555837</v>
      </c>
      <c r="F39" s="42">
        <f t="shared" si="4"/>
        <v>21689.778616144962</v>
      </c>
      <c r="G39" s="42">
        <f t="shared" si="4"/>
        <v>23198.323984510509</v>
      </c>
      <c r="H39" s="42">
        <f t="shared" si="4"/>
        <v>28799.128129793688</v>
      </c>
      <c r="I39" s="42">
        <f t="shared" si="4"/>
        <v>27846.013023174499</v>
      </c>
      <c r="J39" s="42">
        <f t="shared" si="4"/>
        <v>30654.181325603375</v>
      </c>
      <c r="K39" s="42">
        <f t="shared" si="4"/>
        <v>28681.581090155865</v>
      </c>
      <c r="L39" s="42">
        <f t="shared" si="4"/>
        <v>30666.4688416596</v>
      </c>
      <c r="M39" s="42">
        <f t="shared" si="4"/>
        <v>53148.577717424268</v>
      </c>
      <c r="N39" s="42">
        <f t="shared" si="4"/>
        <v>331801.0019172951</v>
      </c>
    </row>
    <row r="40" spans="1:14" ht="15.3" x14ac:dyDescent="0.55000000000000004">
      <c r="A40" s="43" t="s">
        <v>124</v>
      </c>
      <c r="B40" s="42">
        <f t="shared" ref="B40:N40" si="5">+B25-B39</f>
        <v>58059.949390544229</v>
      </c>
      <c r="C40" s="42">
        <f t="shared" si="5"/>
        <v>45673.07889337201</v>
      </c>
      <c r="D40" s="42">
        <f t="shared" si="5"/>
        <v>46893.148470152359</v>
      </c>
      <c r="E40" s="42">
        <f t="shared" si="5"/>
        <v>51050.704971554769</v>
      </c>
      <c r="F40" s="42">
        <f t="shared" si="5"/>
        <v>59293.236896849034</v>
      </c>
      <c r="G40" s="42">
        <f t="shared" si="5"/>
        <v>59836.849922066118</v>
      </c>
      <c r="H40" s="42">
        <f t="shared" si="5"/>
        <v>62672.385865760189</v>
      </c>
      <c r="I40" s="42">
        <f t="shared" si="5"/>
        <v>67259.438840017654</v>
      </c>
      <c r="J40" s="42">
        <f t="shared" si="5"/>
        <v>69726.346682767544</v>
      </c>
      <c r="K40" s="42">
        <f t="shared" si="5"/>
        <v>73146.707787542138</v>
      </c>
      <c r="L40" s="42">
        <f t="shared" si="5"/>
        <v>71651.219192054647</v>
      </c>
      <c r="M40" s="42">
        <f t="shared" si="5"/>
        <v>81032.899617553179</v>
      </c>
      <c r="N40" s="42">
        <f t="shared" si="5"/>
        <v>746295.96653023385</v>
      </c>
    </row>
    <row r="41" spans="1:14" x14ac:dyDescent="0.55000000000000004">
      <c r="A41" s="48" t="s">
        <v>125</v>
      </c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1:14" x14ac:dyDescent="0.55000000000000004">
      <c r="A42" s="51" t="s">
        <v>126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4" x14ac:dyDescent="0.55000000000000004">
      <c r="A43" s="53" t="s">
        <v>127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 spans="1:14" x14ac:dyDescent="0.55000000000000004">
      <c r="A44" s="53" t="s">
        <v>128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4" x14ac:dyDescent="0.55000000000000004">
      <c r="A45" s="53" t="s">
        <v>129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5"/>
    </row>
    <row r="46" spans="1:14" x14ac:dyDescent="0.55000000000000004">
      <c r="A46" s="53" t="s">
        <v>130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5"/>
    </row>
    <row r="47" spans="1:14" x14ac:dyDescent="0.55000000000000004">
      <c r="A47" s="53" t="s">
        <v>131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5"/>
    </row>
    <row r="48" spans="1:14" x14ac:dyDescent="0.55000000000000004">
      <c r="A48" s="53" t="s">
        <v>132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5"/>
    </row>
    <row r="49" spans="1:14" x14ac:dyDescent="0.55000000000000004">
      <c r="A49" s="53" t="s">
        <v>133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5"/>
    </row>
    <row r="50" spans="1:14" x14ac:dyDescent="0.55000000000000004">
      <c r="A50" s="59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5"/>
    </row>
    <row r="51" spans="1:14" x14ac:dyDescent="0.55000000000000004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D451-6871-408D-8A62-7F534A79386D}">
  <dimension ref="A2:N51"/>
  <sheetViews>
    <sheetView topLeftCell="A4" zoomScale="73" zoomScaleNormal="73" workbookViewId="0">
      <selection activeCell="B11" sqref="B11:N11"/>
    </sheetView>
  </sheetViews>
  <sheetFormatPr defaultRowHeight="14.4" x14ac:dyDescent="0.55000000000000004"/>
  <cols>
    <col min="1" max="1" width="30.26171875" customWidth="1"/>
    <col min="2" max="14" width="17.578125" customWidth="1"/>
  </cols>
  <sheetData>
    <row r="2" spans="1:14" x14ac:dyDescent="0.55000000000000004">
      <c r="A2" s="5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x14ac:dyDescent="0.55000000000000004">
      <c r="A3" s="57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19.8" x14ac:dyDescent="0.65">
      <c r="A4" s="58"/>
      <c r="B4" s="55"/>
      <c r="C4" s="55"/>
      <c r="D4" s="55"/>
      <c r="E4" s="56" t="s">
        <v>81</v>
      </c>
      <c r="F4" s="55"/>
      <c r="G4" s="55"/>
      <c r="H4" s="55"/>
      <c r="I4" s="55"/>
      <c r="J4" s="55"/>
      <c r="K4" s="55"/>
      <c r="L4" s="55"/>
      <c r="M4" s="55"/>
      <c r="N4" s="55"/>
    </row>
    <row r="5" spans="1:14" x14ac:dyDescent="0.55000000000000004">
      <c r="A5" s="58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1:14" ht="17.7" x14ac:dyDescent="0.6">
      <c r="A6" s="29" t="s">
        <v>82</v>
      </c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x14ac:dyDescent="0.55000000000000004">
      <c r="A7" s="88" t="s">
        <v>83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 ht="17.399999999999999" x14ac:dyDescent="0.55000000000000004">
      <c r="A8" s="89" t="s">
        <v>84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</row>
    <row r="9" spans="1:14" ht="17.399999999999999" x14ac:dyDescent="0.55000000000000004">
      <c r="A9" s="32" t="s">
        <v>85</v>
      </c>
      <c r="B9" s="33" t="s">
        <v>86</v>
      </c>
      <c r="C9" s="33" t="s">
        <v>87</v>
      </c>
      <c r="D9" s="33" t="s">
        <v>88</v>
      </c>
      <c r="E9" s="33" t="s">
        <v>89</v>
      </c>
      <c r="F9" s="33" t="s">
        <v>90</v>
      </c>
      <c r="G9" s="33" t="s">
        <v>91</v>
      </c>
      <c r="H9" s="33" t="s">
        <v>92</v>
      </c>
      <c r="I9" s="33" t="s">
        <v>93</v>
      </c>
      <c r="J9" s="33" t="s">
        <v>94</v>
      </c>
      <c r="K9" s="33" t="s">
        <v>95</v>
      </c>
      <c r="L9" s="33" t="s">
        <v>96</v>
      </c>
      <c r="M9" s="33" t="s">
        <v>97</v>
      </c>
      <c r="N9" s="33" t="s">
        <v>98</v>
      </c>
    </row>
    <row r="10" spans="1:14" ht="15.3" x14ac:dyDescent="0.55000000000000004">
      <c r="A10" s="34" t="s">
        <v>99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ht="15.3" x14ac:dyDescent="0.55000000000000004">
      <c r="A11" s="36" t="s">
        <v>100</v>
      </c>
      <c r="B11" s="37">
        <v>128800.06584155018</v>
      </c>
      <c r="C11" s="37">
        <v>119633.62181054099</v>
      </c>
      <c r="D11" s="37">
        <v>121897.63969956485</v>
      </c>
      <c r="E11" s="37">
        <v>128755.46490262874</v>
      </c>
      <c r="F11" s="37">
        <v>104567.31614182114</v>
      </c>
      <c r="G11" s="37">
        <v>95157.741525290738</v>
      </c>
      <c r="H11" s="37">
        <v>99194.385511237808</v>
      </c>
      <c r="I11" s="37">
        <v>100258.75918442282</v>
      </c>
      <c r="J11" s="37">
        <v>94253.237400611397</v>
      </c>
      <c r="K11" s="37">
        <v>92441.854830099124</v>
      </c>
      <c r="L11" s="37">
        <v>85798.258921224522</v>
      </c>
      <c r="M11" s="37">
        <v>89613.478577777831</v>
      </c>
      <c r="N11" s="38">
        <f>SUM(B11:M11)</f>
        <v>1260371.8243467701</v>
      </c>
    </row>
    <row r="12" spans="1:14" ht="15.3" x14ac:dyDescent="0.55000000000000004">
      <c r="A12" s="36" t="s">
        <v>101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</row>
    <row r="13" spans="1:14" x14ac:dyDescent="0.55000000000000004">
      <c r="A13" s="39" t="s">
        <v>102</v>
      </c>
      <c r="B13" s="37">
        <v>11742.672247232804</v>
      </c>
      <c r="C13" s="37">
        <v>9255.4509678078812</v>
      </c>
      <c r="D13" s="37">
        <v>7620.4483035542544</v>
      </c>
      <c r="E13" s="37">
        <v>8397.3696571986948</v>
      </c>
      <c r="F13" s="37">
        <v>8569.8646196002192</v>
      </c>
      <c r="G13" s="37">
        <v>7569.740256420605</v>
      </c>
      <c r="H13" s="37">
        <v>6864.8739168871834</v>
      </c>
      <c r="I13" s="37">
        <v>9211.2181791365438</v>
      </c>
      <c r="J13" s="37">
        <v>9489.0788646328892</v>
      </c>
      <c r="K13" s="37">
        <v>8825.4002814885007</v>
      </c>
      <c r="L13" s="37">
        <v>10878.430968464912</v>
      </c>
      <c r="M13" s="37">
        <v>8766.619778192131</v>
      </c>
      <c r="N13" s="38">
        <f t="shared" ref="N13:N23" si="0">SUM(B13:M13)</f>
        <v>107191.16804061661</v>
      </c>
    </row>
    <row r="14" spans="1:14" x14ac:dyDescent="0.55000000000000004">
      <c r="A14" s="40" t="s">
        <v>103</v>
      </c>
      <c r="B14" s="37">
        <v>0</v>
      </c>
      <c r="C14" s="37">
        <v>314.45059559999999</v>
      </c>
      <c r="D14" s="37">
        <v>1620.7635287737048</v>
      </c>
      <c r="E14" s="37">
        <v>619.84080128862968</v>
      </c>
      <c r="F14" s="37">
        <v>0.13690740000000001</v>
      </c>
      <c r="G14" s="37">
        <v>1395.2888663219835</v>
      </c>
      <c r="H14" s="37">
        <v>2433.8629538500318</v>
      </c>
      <c r="I14" s="37">
        <v>1620.1603982408667</v>
      </c>
      <c r="J14" s="37">
        <v>841.67997008510122</v>
      </c>
      <c r="K14" s="37">
        <v>0.27136270000000001</v>
      </c>
      <c r="L14" s="37">
        <v>0</v>
      </c>
      <c r="M14" s="37">
        <v>0</v>
      </c>
      <c r="N14" s="38">
        <f t="shared" si="0"/>
        <v>8846.4553842603164</v>
      </c>
    </row>
    <row r="15" spans="1:14" x14ac:dyDescent="0.55000000000000004">
      <c r="A15" s="39" t="s">
        <v>104</v>
      </c>
      <c r="B15" s="37">
        <v>241.16155640693927</v>
      </c>
      <c r="C15" s="37">
        <v>260.22226879999999</v>
      </c>
      <c r="D15" s="37">
        <v>13.8681977</v>
      </c>
      <c r="E15" s="37">
        <v>924.0060652443741</v>
      </c>
      <c r="F15" s="37">
        <v>475.247839133323</v>
      </c>
      <c r="G15" s="37">
        <v>355.42525569124098</v>
      </c>
      <c r="H15" s="37">
        <v>636.94037275343999</v>
      </c>
      <c r="I15" s="37">
        <v>173.61043654513992</v>
      </c>
      <c r="J15" s="37">
        <v>388.0545023858906</v>
      </c>
      <c r="K15" s="37">
        <v>184.14577871546899</v>
      </c>
      <c r="L15" s="37">
        <v>687.09829004569292</v>
      </c>
      <c r="M15" s="37">
        <v>441.55077978299198</v>
      </c>
      <c r="N15" s="38">
        <f t="shared" si="0"/>
        <v>4781.3313432045015</v>
      </c>
    </row>
    <row r="16" spans="1:14" x14ac:dyDescent="0.55000000000000004">
      <c r="A16" s="39" t="s">
        <v>105</v>
      </c>
      <c r="B16" s="37">
        <v>0</v>
      </c>
      <c r="C16" s="37">
        <v>1.3424999999999999E-3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8">
        <f t="shared" si="0"/>
        <v>1.3424999999999999E-3</v>
      </c>
    </row>
    <row r="17" spans="1:14" x14ac:dyDescent="0.55000000000000004">
      <c r="A17" s="40" t="s">
        <v>106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8">
        <f t="shared" si="0"/>
        <v>0</v>
      </c>
    </row>
    <row r="18" spans="1:14" x14ac:dyDescent="0.55000000000000004">
      <c r="A18" s="39" t="s">
        <v>107</v>
      </c>
      <c r="B18" s="37">
        <v>22.398762599999998</v>
      </c>
      <c r="C18" s="37">
        <v>102.7777177</v>
      </c>
      <c r="D18" s="37">
        <v>1530.4304413040443</v>
      </c>
      <c r="E18" s="37">
        <v>1432.4401845096302</v>
      </c>
      <c r="F18" s="37">
        <v>86.037710100000012</v>
      </c>
      <c r="G18" s="37">
        <v>14.5286481</v>
      </c>
      <c r="H18" s="37">
        <v>91.96575009999998</v>
      </c>
      <c r="I18" s="37">
        <v>66.538544399999992</v>
      </c>
      <c r="J18" s="37">
        <v>118.0504272</v>
      </c>
      <c r="K18" s="37">
        <v>45.498867499999996</v>
      </c>
      <c r="L18" s="37">
        <v>43.608898799999999</v>
      </c>
      <c r="M18" s="37">
        <v>29.765529899999997</v>
      </c>
      <c r="N18" s="38">
        <f t="shared" si="0"/>
        <v>3584.041482213674</v>
      </c>
    </row>
    <row r="19" spans="1:14" x14ac:dyDescent="0.55000000000000004">
      <c r="A19" s="39" t="s">
        <v>108</v>
      </c>
      <c r="B19" s="37">
        <v>1591.0748130468769</v>
      </c>
      <c r="C19" s="37">
        <v>1680.7704203280437</v>
      </c>
      <c r="D19" s="37">
        <v>1579.928014141002</v>
      </c>
      <c r="E19" s="37">
        <v>2086.7114794514951</v>
      </c>
      <c r="F19" s="37">
        <v>1616.9315867464402</v>
      </c>
      <c r="G19" s="37">
        <v>1282.3926035000004</v>
      </c>
      <c r="H19" s="37">
        <v>1887.5093722866475</v>
      </c>
      <c r="I19" s="37">
        <v>1420.5142739686253</v>
      </c>
      <c r="J19" s="37">
        <v>1204.4994348594319</v>
      </c>
      <c r="K19" s="37">
        <v>1183.352966893111</v>
      </c>
      <c r="L19" s="37">
        <v>1514.6666808505731</v>
      </c>
      <c r="M19" s="37">
        <v>1401.0158958692932</v>
      </c>
      <c r="N19" s="38">
        <f t="shared" si="0"/>
        <v>18449.367541941538</v>
      </c>
    </row>
    <row r="20" spans="1:14" x14ac:dyDescent="0.55000000000000004">
      <c r="A20" s="39" t="s">
        <v>109</v>
      </c>
      <c r="B20" s="37">
        <v>5016.0752875560938</v>
      </c>
      <c r="C20" s="37">
        <v>2519.2737246841152</v>
      </c>
      <c r="D20" s="37">
        <v>3067.6492610299551</v>
      </c>
      <c r="E20" s="37">
        <v>3545.6687557347582</v>
      </c>
      <c r="F20" s="37">
        <v>2952.61007367928</v>
      </c>
      <c r="G20" s="37">
        <v>2178.969339989651</v>
      </c>
      <c r="H20" s="37">
        <v>2472.8858547682498</v>
      </c>
      <c r="I20" s="37">
        <v>2037.898288967225</v>
      </c>
      <c r="J20" s="37">
        <v>2952.3115680838127</v>
      </c>
      <c r="K20" s="37">
        <v>2764.7976744316852</v>
      </c>
      <c r="L20" s="37">
        <v>1893.7300631388428</v>
      </c>
      <c r="M20" s="37">
        <v>2072.3759762216409</v>
      </c>
      <c r="N20" s="38">
        <f t="shared" si="0"/>
        <v>33474.24586828531</v>
      </c>
    </row>
    <row r="21" spans="1:14" x14ac:dyDescent="0.55000000000000004">
      <c r="A21" s="39" t="s">
        <v>110</v>
      </c>
      <c r="B21" s="37">
        <v>1047.5565343999999</v>
      </c>
      <c r="C21" s="37">
        <v>1020.9421413</v>
      </c>
      <c r="D21" s="37">
        <v>804.34877879999999</v>
      </c>
      <c r="E21" s="37">
        <v>451.78709219999996</v>
      </c>
      <c r="F21" s="37">
        <v>236.9131816</v>
      </c>
      <c r="G21" s="37">
        <v>394.69967650000001</v>
      </c>
      <c r="H21" s="37">
        <v>773.57192000000009</v>
      </c>
      <c r="I21" s="37">
        <v>1105.4384407845632</v>
      </c>
      <c r="J21" s="37">
        <v>1021.8654855</v>
      </c>
      <c r="K21" s="37">
        <v>914.54584929999999</v>
      </c>
      <c r="L21" s="37">
        <v>986.62271829999997</v>
      </c>
      <c r="M21" s="37">
        <v>1186.7844415000002</v>
      </c>
      <c r="N21" s="38">
        <f t="shared" si="0"/>
        <v>9945.0762601845636</v>
      </c>
    </row>
    <row r="22" spans="1:14" x14ac:dyDescent="0.55000000000000004">
      <c r="A22" s="39" t="s">
        <v>111</v>
      </c>
      <c r="B22" s="37">
        <v>1704.7948859000001</v>
      </c>
      <c r="C22" s="37">
        <v>1675.7071335999999</v>
      </c>
      <c r="D22" s="37">
        <v>1461.5899387999998</v>
      </c>
      <c r="E22" s="37">
        <v>1787.0968663999997</v>
      </c>
      <c r="F22" s="37">
        <v>1351.0164373000002</v>
      </c>
      <c r="G22" s="37">
        <v>1020.8874268999998</v>
      </c>
      <c r="H22" s="37">
        <v>1587.7222273</v>
      </c>
      <c r="I22" s="37">
        <v>1709.9420129</v>
      </c>
      <c r="J22" s="37">
        <v>971.62531609999996</v>
      </c>
      <c r="K22" s="37">
        <v>1356.0311656000001</v>
      </c>
      <c r="L22" s="37">
        <v>1351.3822379000001</v>
      </c>
      <c r="M22" s="37">
        <v>2179.5632885</v>
      </c>
      <c r="N22" s="38">
        <f t="shared" si="0"/>
        <v>18157.358937199999</v>
      </c>
    </row>
    <row r="23" spans="1:14" x14ac:dyDescent="0.55000000000000004">
      <c r="A23" s="39" t="s">
        <v>112</v>
      </c>
      <c r="B23" s="37">
        <v>1091.9774634221205</v>
      </c>
      <c r="C23" s="37">
        <v>1318.3055674054667</v>
      </c>
      <c r="D23" s="37">
        <v>765.33193275616975</v>
      </c>
      <c r="E23" s="37">
        <v>618.96919158416756</v>
      </c>
      <c r="F23" s="37">
        <v>1120.1187033895139</v>
      </c>
      <c r="G23" s="37">
        <v>646.20744328448666</v>
      </c>
      <c r="H23" s="37">
        <v>604.47946250035614</v>
      </c>
      <c r="I23" s="37">
        <v>673.1964419751198</v>
      </c>
      <c r="J23" s="37">
        <v>855.07457396648101</v>
      </c>
      <c r="K23" s="37">
        <v>1177.0664569112087</v>
      </c>
      <c r="L23" s="37">
        <v>589.70741381903485</v>
      </c>
      <c r="M23" s="37">
        <v>1964.5072478634606</v>
      </c>
      <c r="N23" s="38">
        <f t="shared" si="0"/>
        <v>11424.941898877585</v>
      </c>
    </row>
    <row r="24" spans="1:14" ht="15.3" x14ac:dyDescent="0.55000000000000004">
      <c r="A24" s="41" t="s">
        <v>113</v>
      </c>
      <c r="B24" s="42">
        <f t="shared" ref="B24:N24" si="1">SUM(B13:B23)</f>
        <v>22457.711550564833</v>
      </c>
      <c r="C24" s="42">
        <f t="shared" si="1"/>
        <v>18147.901879725508</v>
      </c>
      <c r="D24" s="42">
        <f t="shared" si="1"/>
        <v>18464.35839685913</v>
      </c>
      <c r="E24" s="42">
        <f t="shared" si="1"/>
        <v>19863.89009361175</v>
      </c>
      <c r="F24" s="42">
        <f t="shared" si="1"/>
        <v>16408.877058948776</v>
      </c>
      <c r="G24" s="42">
        <f t="shared" si="1"/>
        <v>14858.13951670797</v>
      </c>
      <c r="H24" s="42">
        <f t="shared" si="1"/>
        <v>17353.811830445909</v>
      </c>
      <c r="I24" s="42">
        <f t="shared" si="1"/>
        <v>18018.517016918082</v>
      </c>
      <c r="J24" s="42">
        <f t="shared" si="1"/>
        <v>17842.240142813607</v>
      </c>
      <c r="K24" s="42">
        <f t="shared" si="1"/>
        <v>16451.110403539977</v>
      </c>
      <c r="L24" s="42">
        <f t="shared" si="1"/>
        <v>17945.247271319055</v>
      </c>
      <c r="M24" s="42">
        <f t="shared" si="1"/>
        <v>18042.182937829519</v>
      </c>
      <c r="N24" s="42">
        <f t="shared" si="1"/>
        <v>215853.98809928409</v>
      </c>
    </row>
    <row r="25" spans="1:14" ht="15.3" x14ac:dyDescent="0.55000000000000004">
      <c r="A25" s="43" t="s">
        <v>114</v>
      </c>
      <c r="B25" s="42">
        <f>+B24+B11</f>
        <v>151257.77739211501</v>
      </c>
      <c r="C25" s="42">
        <f>+C24+C11</f>
        <v>137781.52369026651</v>
      </c>
      <c r="D25" s="42">
        <f>+D24+D11</f>
        <v>140361.99809642398</v>
      </c>
      <c r="E25" s="42">
        <f>+E24+E11</f>
        <v>148619.35499624049</v>
      </c>
      <c r="F25" s="42">
        <f>+F24+F11</f>
        <v>120976.19320076992</v>
      </c>
      <c r="G25" s="42">
        <f t="shared" ref="G25:N25" si="2">+G11+G24</f>
        <v>110015.88104199871</v>
      </c>
      <c r="H25" s="42">
        <f t="shared" si="2"/>
        <v>116548.19734168371</v>
      </c>
      <c r="I25" s="42">
        <f t="shared" si="2"/>
        <v>118277.27620134089</v>
      </c>
      <c r="J25" s="42">
        <f t="shared" si="2"/>
        <v>112095.477543425</v>
      </c>
      <c r="K25" s="42">
        <f t="shared" si="2"/>
        <v>108892.9652336391</v>
      </c>
      <c r="L25" s="42">
        <f t="shared" si="2"/>
        <v>103743.50619254357</v>
      </c>
      <c r="M25" s="42">
        <f t="shared" si="2"/>
        <v>107655.66151560735</v>
      </c>
      <c r="N25" s="42">
        <f t="shared" si="2"/>
        <v>1476225.8124460541</v>
      </c>
    </row>
    <row r="26" spans="1:14" ht="15.3" x14ac:dyDescent="0.55000000000000004">
      <c r="A26" s="44" t="s">
        <v>115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8"/>
    </row>
    <row r="27" spans="1:14" x14ac:dyDescent="0.55000000000000004">
      <c r="A27" s="45" t="s">
        <v>102</v>
      </c>
      <c r="B27" s="37">
        <v>396.92389750000001</v>
      </c>
      <c r="C27" s="37">
        <v>418.9701402</v>
      </c>
      <c r="D27" s="37">
        <v>413.1371891</v>
      </c>
      <c r="E27" s="37">
        <v>312.20178030000005</v>
      </c>
      <c r="F27" s="37">
        <v>287.65890380000002</v>
      </c>
      <c r="G27" s="37">
        <v>270.1505282</v>
      </c>
      <c r="H27" s="37">
        <v>278.24232439999997</v>
      </c>
      <c r="I27" s="37">
        <v>254.63031950000001</v>
      </c>
      <c r="J27" s="37">
        <v>276.8341805</v>
      </c>
      <c r="K27" s="37">
        <v>315.53336539999998</v>
      </c>
      <c r="L27" s="37">
        <v>267.80112389999999</v>
      </c>
      <c r="M27" s="37">
        <v>399.07843170000001</v>
      </c>
      <c r="N27" s="38">
        <f t="shared" ref="N27:N38" si="3">SUM(B27:M27)</f>
        <v>3891.1621845</v>
      </c>
    </row>
    <row r="28" spans="1:14" x14ac:dyDescent="0.55000000000000004">
      <c r="A28" s="46" t="s">
        <v>116</v>
      </c>
      <c r="B28" s="37">
        <v>12030.341100920748</v>
      </c>
      <c r="C28" s="37">
        <v>11527.74588958881</v>
      </c>
      <c r="D28" s="37">
        <v>12351.79043904</v>
      </c>
      <c r="E28" s="37">
        <v>9095.5541972459996</v>
      </c>
      <c r="F28" s="37">
        <v>7325.3684196780005</v>
      </c>
      <c r="G28" s="37">
        <v>4580.6618445410004</v>
      </c>
      <c r="H28" s="37">
        <v>3312.6717108289999</v>
      </c>
      <c r="I28" s="37">
        <v>5736.1601451380002</v>
      </c>
      <c r="J28" s="37">
        <v>8138.8675803690003</v>
      </c>
      <c r="K28" s="37">
        <v>8424.6507415779997</v>
      </c>
      <c r="L28" s="37">
        <v>9774.353902513998</v>
      </c>
      <c r="M28" s="37">
        <v>10501.446971342</v>
      </c>
      <c r="N28" s="38">
        <f t="shared" si="3"/>
        <v>102799.61294278456</v>
      </c>
    </row>
    <row r="29" spans="1:14" x14ac:dyDescent="0.55000000000000004">
      <c r="A29" s="45" t="s">
        <v>117</v>
      </c>
      <c r="B29" s="37">
        <v>4217.7985587535659</v>
      </c>
      <c r="C29" s="37">
        <v>3643.5417030712651</v>
      </c>
      <c r="D29" s="37">
        <v>5154.5868891073796</v>
      </c>
      <c r="E29" s="37">
        <v>2168.2852138066</v>
      </c>
      <c r="F29" s="37">
        <v>2274.9054244165541</v>
      </c>
      <c r="G29" s="37">
        <v>2331.0189269622851</v>
      </c>
      <c r="H29" s="37">
        <v>2009.0469272956318</v>
      </c>
      <c r="I29" s="37">
        <v>2335.9553956185</v>
      </c>
      <c r="J29" s="37">
        <v>2245.7181178271949</v>
      </c>
      <c r="K29" s="37">
        <v>1812.0029767942419</v>
      </c>
      <c r="L29" s="37">
        <v>2342.9942445083288</v>
      </c>
      <c r="M29" s="37">
        <v>2820.7207010590964</v>
      </c>
      <c r="N29" s="38">
        <f t="shared" si="3"/>
        <v>33356.575079220645</v>
      </c>
    </row>
    <row r="30" spans="1:14" x14ac:dyDescent="0.55000000000000004">
      <c r="A30" s="45" t="s">
        <v>118</v>
      </c>
      <c r="B30" s="37">
        <v>2889.1223348459998</v>
      </c>
      <c r="C30" s="37">
        <v>4073.1043929699999</v>
      </c>
      <c r="D30" s="37">
        <v>6051.4932892099996</v>
      </c>
      <c r="E30" s="37">
        <v>5085.6447398589989</v>
      </c>
      <c r="F30" s="37">
        <v>6365.5961996039996</v>
      </c>
      <c r="G30" s="37">
        <v>5317.8386674520007</v>
      </c>
      <c r="H30" s="37">
        <v>5347.4238062479999</v>
      </c>
      <c r="I30" s="37">
        <v>4880.0982012269997</v>
      </c>
      <c r="J30" s="37">
        <v>4543.6760944530006</v>
      </c>
      <c r="K30" s="37">
        <v>4429.2606184879996</v>
      </c>
      <c r="L30" s="37">
        <v>4604.4053523439998</v>
      </c>
      <c r="M30" s="37">
        <v>5010.4127537039985</v>
      </c>
      <c r="N30" s="38">
        <f t="shared" si="3"/>
        <v>58598.076450404995</v>
      </c>
    </row>
    <row r="31" spans="1:14" x14ac:dyDescent="0.55000000000000004">
      <c r="A31" s="40" t="s">
        <v>106</v>
      </c>
      <c r="B31" s="37">
        <v>17.4011253</v>
      </c>
      <c r="C31" s="37">
        <v>6.3677977000000006</v>
      </c>
      <c r="D31" s="37">
        <v>12.2930587</v>
      </c>
      <c r="E31" s="37">
        <v>10.858749400000001</v>
      </c>
      <c r="F31" s="37">
        <v>4.5881730000000003</v>
      </c>
      <c r="G31" s="37">
        <v>7.4526338000000001</v>
      </c>
      <c r="H31" s="37">
        <v>6.4208078000000004</v>
      </c>
      <c r="I31" s="37">
        <v>8.0317759999999989</v>
      </c>
      <c r="J31" s="37">
        <v>8.2406515999999996</v>
      </c>
      <c r="K31" s="37">
        <v>7.3006848</v>
      </c>
      <c r="L31" s="37">
        <v>4.5058236999999997</v>
      </c>
      <c r="M31" s="37">
        <v>7.0197048999999998</v>
      </c>
      <c r="N31" s="38">
        <f t="shared" si="3"/>
        <v>100.48098669999997</v>
      </c>
    </row>
    <row r="32" spans="1:14" x14ac:dyDescent="0.55000000000000004">
      <c r="A32" s="39" t="s">
        <v>107</v>
      </c>
      <c r="B32" s="37">
        <v>22851.559414085554</v>
      </c>
      <c r="C32" s="37">
        <v>27541.927201186285</v>
      </c>
      <c r="D32" s="37">
        <v>24876.919773491922</v>
      </c>
      <c r="E32" s="37">
        <v>19133.375825632</v>
      </c>
      <c r="F32" s="37">
        <v>19619.724952914763</v>
      </c>
      <c r="G32" s="37">
        <v>21040.053990274082</v>
      </c>
      <c r="H32" s="37">
        <v>17901.670569250917</v>
      </c>
      <c r="I32" s="37">
        <v>15873.609370051907</v>
      </c>
      <c r="J32" s="37">
        <v>17381.5453611302</v>
      </c>
      <c r="K32" s="37">
        <v>14375.31935498689</v>
      </c>
      <c r="L32" s="37">
        <v>14676.246378680597</v>
      </c>
      <c r="M32" s="37">
        <v>15541.504003071561</v>
      </c>
      <c r="N32" s="38">
        <f t="shared" si="3"/>
        <v>230813.45619475667</v>
      </c>
    </row>
    <row r="33" spans="1:14" x14ac:dyDescent="0.55000000000000004">
      <c r="A33" s="39" t="s">
        <v>119</v>
      </c>
      <c r="B33" s="37">
        <v>0.78996</v>
      </c>
      <c r="C33" s="37">
        <v>1.03938</v>
      </c>
      <c r="D33" s="37">
        <v>0.86812</v>
      </c>
      <c r="E33" s="37">
        <v>1.183684</v>
      </c>
      <c r="F33" s="37">
        <v>0.74283200000000005</v>
      </c>
      <c r="G33" s="37">
        <v>1.004124</v>
      </c>
      <c r="H33" s="37">
        <v>1.2649239999999999</v>
      </c>
      <c r="I33" s="37">
        <v>1.2001759999999999</v>
      </c>
      <c r="J33" s="37">
        <v>1.5157560000000001</v>
      </c>
      <c r="K33" s="37">
        <v>0.83520000000000005</v>
      </c>
      <c r="L33" s="37">
        <v>1.1472800000000001</v>
      </c>
      <c r="M33" s="37">
        <v>1.2322200000000001</v>
      </c>
      <c r="N33" s="38">
        <f t="shared" si="3"/>
        <v>12.823656</v>
      </c>
    </row>
    <row r="34" spans="1:14" x14ac:dyDescent="0.55000000000000004">
      <c r="A34" s="39" t="s">
        <v>120</v>
      </c>
      <c r="B34" s="37">
        <v>34.470289548819999</v>
      </c>
      <c r="C34" s="37">
        <v>6.3493150374111513</v>
      </c>
      <c r="D34" s="37">
        <v>16.673983097920001</v>
      </c>
      <c r="E34" s="37">
        <v>13.010111349359999</v>
      </c>
      <c r="F34" s="37">
        <v>8.0334882155000003</v>
      </c>
      <c r="G34" s="37">
        <v>13.616912786459997</v>
      </c>
      <c r="H34" s="37">
        <v>7.8942672958799998</v>
      </c>
      <c r="I34" s="37">
        <v>11.47833282815</v>
      </c>
      <c r="J34" s="37">
        <v>10.09778787866</v>
      </c>
      <c r="K34" s="37">
        <v>10.365421692329997</v>
      </c>
      <c r="L34" s="37">
        <v>6.7416974229999997</v>
      </c>
      <c r="M34" s="37">
        <v>66.143375673159994</v>
      </c>
      <c r="N34" s="38">
        <f t="shared" si="3"/>
        <v>204.87498282665115</v>
      </c>
    </row>
    <row r="35" spans="1:14" x14ac:dyDescent="0.55000000000000004">
      <c r="A35" s="39" t="s">
        <v>109</v>
      </c>
      <c r="B35" s="37">
        <v>261.25676810800002</v>
      </c>
      <c r="C35" s="37">
        <v>460.71080756100002</v>
      </c>
      <c r="D35" s="37">
        <v>612.44255720000001</v>
      </c>
      <c r="E35" s="37">
        <v>722.88597599999991</v>
      </c>
      <c r="F35" s="37">
        <v>1046.9749008000001</v>
      </c>
      <c r="G35" s="37">
        <v>546.31845080000005</v>
      </c>
      <c r="H35" s="37">
        <v>968.49736767660465</v>
      </c>
      <c r="I35" s="37">
        <v>720.73024550000002</v>
      </c>
      <c r="J35" s="37">
        <v>925.50902689999998</v>
      </c>
      <c r="K35" s="37">
        <v>685.22129152887328</v>
      </c>
      <c r="L35" s="37">
        <v>324.53805690000002</v>
      </c>
      <c r="M35" s="37">
        <v>559.10474279999994</v>
      </c>
      <c r="N35" s="38">
        <f t="shared" si="3"/>
        <v>7834.1901917744772</v>
      </c>
    </row>
    <row r="36" spans="1:14" x14ac:dyDescent="0.55000000000000004">
      <c r="A36" s="39" t="s">
        <v>110</v>
      </c>
      <c r="B36" s="37">
        <v>0.1164737</v>
      </c>
      <c r="C36" s="37">
        <v>0.77783210000000003</v>
      </c>
      <c r="D36" s="37">
        <v>5.6692851999999991</v>
      </c>
      <c r="E36" s="37">
        <v>0.24597769999999999</v>
      </c>
      <c r="F36" s="37">
        <v>9.9914199999999995E-2</v>
      </c>
      <c r="G36" s="37">
        <v>10.2423485</v>
      </c>
      <c r="H36" s="37">
        <v>10.962852000000002</v>
      </c>
      <c r="I36" s="37">
        <v>0.48328930000000003</v>
      </c>
      <c r="J36" s="37">
        <v>0.44958350000000002</v>
      </c>
      <c r="K36" s="37">
        <v>0.20459869999999999</v>
      </c>
      <c r="L36" s="37">
        <v>1.3071378</v>
      </c>
      <c r="M36" s="37">
        <v>11.852975300000001</v>
      </c>
      <c r="N36" s="38">
        <f t="shared" si="3"/>
        <v>42.412267999999997</v>
      </c>
    </row>
    <row r="37" spans="1:14" x14ac:dyDescent="0.55000000000000004">
      <c r="A37" s="39" t="s">
        <v>121</v>
      </c>
      <c r="B37" s="37">
        <v>15.541077893999999</v>
      </c>
      <c r="C37" s="37">
        <v>124.0929989971</v>
      </c>
      <c r="D37" s="37">
        <v>129.88166800600001</v>
      </c>
      <c r="E37" s="37">
        <v>35.265886637999998</v>
      </c>
      <c r="F37" s="37">
        <v>32.755973949000001</v>
      </c>
      <c r="G37" s="37">
        <v>13.80212856</v>
      </c>
      <c r="H37" s="37">
        <v>0</v>
      </c>
      <c r="I37" s="37">
        <v>0</v>
      </c>
      <c r="J37" s="37">
        <v>0</v>
      </c>
      <c r="K37" s="37">
        <v>0</v>
      </c>
      <c r="L37" s="37">
        <v>24.489539271999998</v>
      </c>
      <c r="M37" s="37">
        <v>272.241742402</v>
      </c>
      <c r="N37" s="38">
        <f t="shared" si="3"/>
        <v>648.07101571810006</v>
      </c>
    </row>
    <row r="38" spans="1:14" x14ac:dyDescent="0.55000000000000004">
      <c r="A38" s="39" t="s">
        <v>122</v>
      </c>
      <c r="B38" s="37">
        <v>1788.2916870606</v>
      </c>
      <c r="C38" s="37">
        <v>2177.1992574399574</v>
      </c>
      <c r="D38" s="37">
        <v>1907.08537118616</v>
      </c>
      <c r="E38" s="37">
        <v>1515.66438281</v>
      </c>
      <c r="F38" s="37">
        <v>1722.7040566129997</v>
      </c>
      <c r="G38" s="37">
        <v>1225.1679954159999</v>
      </c>
      <c r="H38" s="37">
        <v>852.01870689840007</v>
      </c>
      <c r="I38" s="37">
        <v>1278.5135650319498</v>
      </c>
      <c r="J38" s="37">
        <v>3372.8310189159001</v>
      </c>
      <c r="K38" s="37">
        <v>1201.6122997030202</v>
      </c>
      <c r="L38" s="37">
        <v>1738.235365288094</v>
      </c>
      <c r="M38" s="37">
        <v>1647.6068469559214</v>
      </c>
      <c r="N38" s="38">
        <f t="shared" si="3"/>
        <v>20426.930553319005</v>
      </c>
    </row>
    <row r="39" spans="1:14" ht="15.3" x14ac:dyDescent="0.55000000000000004">
      <c r="A39" s="47" t="s">
        <v>123</v>
      </c>
      <c r="B39" s="42">
        <f t="shared" ref="B39:N39" si="4">SUM(B27:B38)</f>
        <v>44503.612687717294</v>
      </c>
      <c r="C39" s="42">
        <f t="shared" si="4"/>
        <v>49981.826715851828</v>
      </c>
      <c r="D39" s="42">
        <f t="shared" si="4"/>
        <v>51532.84162333938</v>
      </c>
      <c r="E39" s="42">
        <f t="shared" si="4"/>
        <v>38094.176524740949</v>
      </c>
      <c r="F39" s="42">
        <f t="shared" si="4"/>
        <v>38689.153239190826</v>
      </c>
      <c r="G39" s="42">
        <f t="shared" si="4"/>
        <v>35357.328551291823</v>
      </c>
      <c r="H39" s="42">
        <f t="shared" si="4"/>
        <v>30696.114263694435</v>
      </c>
      <c r="I39" s="42">
        <f t="shared" si="4"/>
        <v>31100.890816195501</v>
      </c>
      <c r="J39" s="42">
        <f t="shared" si="4"/>
        <v>36905.285159073959</v>
      </c>
      <c r="K39" s="42">
        <f t="shared" si="4"/>
        <v>31262.306553671358</v>
      </c>
      <c r="L39" s="42">
        <f t="shared" si="4"/>
        <v>33766.765902330015</v>
      </c>
      <c r="M39" s="42">
        <f t="shared" si="4"/>
        <v>36838.364468907734</v>
      </c>
      <c r="N39" s="42">
        <f t="shared" si="4"/>
        <v>458728.6665060051</v>
      </c>
    </row>
    <row r="40" spans="1:14" ht="15.3" x14ac:dyDescent="0.55000000000000004">
      <c r="A40" s="43" t="s">
        <v>124</v>
      </c>
      <c r="B40" s="42">
        <f t="shared" ref="B40:N40" si="5">+B25-B39</f>
        <v>106754.16470439771</v>
      </c>
      <c r="C40" s="42">
        <f t="shared" si="5"/>
        <v>87799.696974414677</v>
      </c>
      <c r="D40" s="42">
        <f t="shared" si="5"/>
        <v>88829.1564730846</v>
      </c>
      <c r="E40" s="42">
        <f t="shared" si="5"/>
        <v>110525.17847149954</v>
      </c>
      <c r="F40" s="42">
        <f t="shared" si="5"/>
        <v>82287.039961579096</v>
      </c>
      <c r="G40" s="42">
        <f t="shared" si="5"/>
        <v>74658.55249070689</v>
      </c>
      <c r="H40" s="42">
        <f t="shared" si="5"/>
        <v>85852.083077989286</v>
      </c>
      <c r="I40" s="42">
        <f t="shared" si="5"/>
        <v>87176.38538514539</v>
      </c>
      <c r="J40" s="42">
        <f t="shared" si="5"/>
        <v>75190.192384351045</v>
      </c>
      <c r="K40" s="42">
        <f t="shared" si="5"/>
        <v>77630.658679967746</v>
      </c>
      <c r="L40" s="42">
        <f t="shared" si="5"/>
        <v>69976.740290213551</v>
      </c>
      <c r="M40" s="42">
        <f t="shared" si="5"/>
        <v>70817.297046699619</v>
      </c>
      <c r="N40" s="42">
        <f t="shared" si="5"/>
        <v>1017497.145940049</v>
      </c>
    </row>
    <row r="41" spans="1:14" x14ac:dyDescent="0.55000000000000004">
      <c r="A41" s="48" t="s">
        <v>125</v>
      </c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1:14" x14ac:dyDescent="0.55000000000000004">
      <c r="A42" s="51" t="s">
        <v>126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4" x14ac:dyDescent="0.55000000000000004">
      <c r="A43" s="53" t="s">
        <v>127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 spans="1:14" x14ac:dyDescent="0.55000000000000004">
      <c r="A44" s="53" t="s">
        <v>128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4" x14ac:dyDescent="0.55000000000000004">
      <c r="A45" s="53" t="s">
        <v>129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5"/>
    </row>
    <row r="46" spans="1:14" x14ac:dyDescent="0.55000000000000004">
      <c r="A46" s="53" t="s">
        <v>130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5"/>
    </row>
    <row r="47" spans="1:14" x14ac:dyDescent="0.55000000000000004">
      <c r="A47" s="53" t="s">
        <v>131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5"/>
    </row>
    <row r="48" spans="1:14" x14ac:dyDescent="0.55000000000000004">
      <c r="A48" s="53" t="s">
        <v>132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5"/>
    </row>
    <row r="49" spans="1:14" x14ac:dyDescent="0.55000000000000004">
      <c r="A49" s="53" t="s">
        <v>133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5"/>
    </row>
    <row r="50" spans="1:14" x14ac:dyDescent="0.55000000000000004">
      <c r="A50" s="59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5"/>
    </row>
    <row r="51" spans="1:14" x14ac:dyDescent="0.55000000000000004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</sheetData>
  <mergeCells count="2">
    <mergeCell ref="A7:N7"/>
    <mergeCell ref="A8:N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>
      <selection activeCell="L21" sqref="L21"/>
    </sheetView>
  </sheetViews>
  <sheetFormatPr defaultRowHeight="14.4" x14ac:dyDescent="0.55000000000000004"/>
  <cols>
    <col min="1" max="1" width="28.7890625" style="2" bestFit="1" customWidth="1"/>
    <col min="2" max="2" width="8.83984375" customWidth="1"/>
    <col min="4" max="4" width="10.62890625" bestFit="1" customWidth="1"/>
    <col min="6" max="6" width="12.41796875" bestFit="1" customWidth="1"/>
    <col min="7" max="7" width="8.89453125" bestFit="1" customWidth="1"/>
    <col min="8" max="8" width="9.62890625" bestFit="1" customWidth="1"/>
    <col min="9" max="9" width="14.89453125" bestFit="1" customWidth="1"/>
    <col min="10" max="10" width="8.83984375" customWidth="1"/>
    <col min="11" max="11" width="12.41796875" bestFit="1" customWidth="1"/>
    <col min="12" max="12" width="56.20703125" customWidth="1"/>
  </cols>
  <sheetData>
    <row r="1" spans="1:12" x14ac:dyDescent="0.55000000000000004">
      <c r="A1" s="2" t="s">
        <v>0</v>
      </c>
      <c r="B1" s="1" t="s">
        <v>30</v>
      </c>
      <c r="C1" s="1" t="s">
        <v>33</v>
      </c>
      <c r="D1" s="1" t="s">
        <v>34</v>
      </c>
    </row>
    <row r="2" spans="1:12" x14ac:dyDescent="0.55000000000000004">
      <c r="A2" s="3" t="s">
        <v>3</v>
      </c>
      <c r="B2" s="1">
        <v>173.2</v>
      </c>
      <c r="C2" s="1">
        <v>174.7</v>
      </c>
      <c r="D2" s="1">
        <v>173.7</v>
      </c>
      <c r="F2" s="13" t="s">
        <v>49</v>
      </c>
      <c r="G2" s="13" t="s">
        <v>30</v>
      </c>
      <c r="H2" s="13" t="s">
        <v>33</v>
      </c>
      <c r="I2" s="13" t="s">
        <v>34</v>
      </c>
      <c r="K2" s="13" t="s">
        <v>49</v>
      </c>
      <c r="L2" s="13" t="s">
        <v>59</v>
      </c>
    </row>
    <row r="3" spans="1:12" ht="63.6" customHeight="1" x14ac:dyDescent="0.55000000000000004">
      <c r="A3" s="26" t="s">
        <v>4</v>
      </c>
      <c r="B3" s="25">
        <v>211.5</v>
      </c>
      <c r="C3" s="25">
        <v>219.4</v>
      </c>
      <c r="D3" s="25">
        <v>214.3</v>
      </c>
      <c r="F3" s="24" t="s">
        <v>50</v>
      </c>
      <c r="G3" s="20">
        <f>SUM(B2:B13)</f>
        <v>2113.9000000000005</v>
      </c>
      <c r="H3" s="20">
        <f>SUM(C2:C13)</f>
        <v>2152</v>
      </c>
      <c r="I3" s="20">
        <f>SUM(D2:D13)</f>
        <v>2127.8000000000002</v>
      </c>
      <c r="K3" s="20" t="s">
        <v>50</v>
      </c>
      <c r="L3" s="22" t="s">
        <v>60</v>
      </c>
    </row>
    <row r="4" spans="1:12" x14ac:dyDescent="0.55000000000000004">
      <c r="A4" s="3" t="s">
        <v>5</v>
      </c>
      <c r="B4" s="1">
        <v>171</v>
      </c>
      <c r="C4" s="1">
        <v>176.7</v>
      </c>
      <c r="D4" s="1">
        <v>173.2</v>
      </c>
      <c r="F4" s="14" t="s">
        <v>51</v>
      </c>
      <c r="G4" s="19">
        <f>SUM(B14:B15)</f>
        <v>376.70000000000005</v>
      </c>
      <c r="H4" s="19">
        <f>SUM(C14:C15)</f>
        <v>387.29999999999995</v>
      </c>
      <c r="I4" s="19">
        <f>SUM(D14:D15)</f>
        <v>380.1</v>
      </c>
      <c r="K4" s="14" t="s">
        <v>51</v>
      </c>
      <c r="L4" s="15" t="s">
        <v>61</v>
      </c>
    </row>
    <row r="5" spans="1:12" x14ac:dyDescent="0.55000000000000004">
      <c r="A5" s="3" t="s">
        <v>6</v>
      </c>
      <c r="B5" s="1">
        <v>179.6</v>
      </c>
      <c r="C5" s="1">
        <v>179.4</v>
      </c>
      <c r="D5" s="1">
        <v>179.5</v>
      </c>
      <c r="F5" s="14" t="s">
        <v>17</v>
      </c>
      <c r="G5" s="19">
        <f>SUM(B16:B18)</f>
        <v>569.90000000000009</v>
      </c>
      <c r="H5" s="19">
        <f>SUM(C16:C18)</f>
        <v>528.70000000000005</v>
      </c>
      <c r="I5" s="19">
        <f>SUM(D16:D18)</f>
        <v>553.20000000000005</v>
      </c>
      <c r="K5" s="14" t="s">
        <v>17</v>
      </c>
      <c r="L5" s="15" t="s">
        <v>62</v>
      </c>
    </row>
    <row r="6" spans="1:12" x14ac:dyDescent="0.55000000000000004">
      <c r="A6" s="3" t="s">
        <v>7</v>
      </c>
      <c r="B6" s="1">
        <v>173.3</v>
      </c>
      <c r="C6" s="1">
        <v>164.4</v>
      </c>
      <c r="D6" s="1">
        <v>170</v>
      </c>
      <c r="F6" s="14" t="s">
        <v>20</v>
      </c>
      <c r="G6" s="19">
        <f t="shared" ref="G6:I10" si="0">SUM(B19)</f>
        <v>0</v>
      </c>
      <c r="H6" s="19">
        <f t="shared" si="0"/>
        <v>175.6</v>
      </c>
      <c r="I6" s="19">
        <f t="shared" si="0"/>
        <v>175.6</v>
      </c>
      <c r="K6" s="14" t="s">
        <v>20</v>
      </c>
      <c r="L6" s="15" t="s">
        <v>20</v>
      </c>
    </row>
    <row r="7" spans="1:12" x14ac:dyDescent="0.55000000000000004">
      <c r="A7" s="3" t="s">
        <v>8</v>
      </c>
      <c r="B7" s="1">
        <v>169</v>
      </c>
      <c r="C7" s="1">
        <v>175.8</v>
      </c>
      <c r="D7" s="1">
        <v>172.2</v>
      </c>
      <c r="F7" s="14" t="s">
        <v>52</v>
      </c>
      <c r="G7" s="19">
        <f t="shared" si="0"/>
        <v>182.5</v>
      </c>
      <c r="H7" s="19">
        <f t="shared" si="0"/>
        <v>183.4</v>
      </c>
      <c r="I7" s="19">
        <f t="shared" si="0"/>
        <v>182.8</v>
      </c>
      <c r="K7" s="14" t="s">
        <v>52</v>
      </c>
      <c r="L7" s="15" t="s">
        <v>63</v>
      </c>
    </row>
    <row r="8" spans="1:12" x14ac:dyDescent="0.55000000000000004">
      <c r="A8" s="3" t="s">
        <v>9</v>
      </c>
      <c r="B8" s="1">
        <v>148.69999999999999</v>
      </c>
      <c r="C8" s="1">
        <v>185</v>
      </c>
      <c r="D8" s="1">
        <v>161</v>
      </c>
      <c r="F8" s="14" t="s">
        <v>23</v>
      </c>
      <c r="G8" s="19">
        <f t="shared" si="0"/>
        <v>187.8</v>
      </c>
      <c r="H8" s="19">
        <f t="shared" si="0"/>
        <v>182.2</v>
      </c>
      <c r="I8" s="19">
        <f t="shared" si="0"/>
        <v>185.7</v>
      </c>
      <c r="K8" s="14" t="s">
        <v>23</v>
      </c>
      <c r="L8" s="15" t="s">
        <v>23</v>
      </c>
    </row>
    <row r="9" spans="1:12" x14ac:dyDescent="0.55000000000000004">
      <c r="A9" s="3" t="s">
        <v>10</v>
      </c>
      <c r="B9" s="1">
        <v>174.9</v>
      </c>
      <c r="C9" s="1">
        <v>176.9</v>
      </c>
      <c r="D9" s="1">
        <v>175.6</v>
      </c>
      <c r="F9" s="14" t="s">
        <v>26</v>
      </c>
      <c r="G9" s="19">
        <f t="shared" si="0"/>
        <v>180.3</v>
      </c>
      <c r="H9" s="19">
        <f t="shared" si="0"/>
        <v>174.8</v>
      </c>
      <c r="I9" s="19">
        <f t="shared" si="0"/>
        <v>177.1</v>
      </c>
      <c r="K9" s="14" t="s">
        <v>26</v>
      </c>
      <c r="L9" s="15" t="s">
        <v>26</v>
      </c>
    </row>
    <row r="10" spans="1:12" x14ac:dyDescent="0.55000000000000004">
      <c r="A10" s="3" t="s">
        <v>11</v>
      </c>
      <c r="B10" s="1">
        <v>121.9</v>
      </c>
      <c r="C10" s="1">
        <v>124.2</v>
      </c>
      <c r="D10" s="1">
        <v>122.7</v>
      </c>
      <c r="F10" s="14" t="s">
        <v>53</v>
      </c>
      <c r="G10" s="19">
        <f t="shared" si="0"/>
        <v>169.7</v>
      </c>
      <c r="H10" s="19">
        <f t="shared" si="0"/>
        <v>160.4</v>
      </c>
      <c r="I10" s="19">
        <f t="shared" si="0"/>
        <v>164.8</v>
      </c>
      <c r="K10" s="14" t="s">
        <v>53</v>
      </c>
      <c r="L10" s="15" t="s">
        <v>64</v>
      </c>
    </row>
    <row r="11" spans="1:12" ht="28.8" x14ac:dyDescent="0.55000000000000004">
      <c r="A11" s="3" t="s">
        <v>12</v>
      </c>
      <c r="B11" s="1">
        <v>221</v>
      </c>
      <c r="C11" s="1">
        <v>211.9</v>
      </c>
      <c r="D11" s="1">
        <v>218</v>
      </c>
      <c r="F11" s="24" t="s">
        <v>28</v>
      </c>
      <c r="G11" s="20">
        <f>SUM(B24:B27)</f>
        <v>718</v>
      </c>
      <c r="H11" s="20">
        <f>SUM(C24:C27)</f>
        <v>696.5</v>
      </c>
      <c r="I11" s="20">
        <f>SUM(D24:D27)</f>
        <v>707.3</v>
      </c>
      <c r="K11" s="14" t="s">
        <v>28</v>
      </c>
      <c r="L11" s="18" t="s">
        <v>65</v>
      </c>
    </row>
    <row r="12" spans="1:12" x14ac:dyDescent="0.55000000000000004">
      <c r="A12" s="3" t="s">
        <v>13</v>
      </c>
      <c r="B12" s="1">
        <v>178.7</v>
      </c>
      <c r="C12" s="1">
        <v>165.9</v>
      </c>
      <c r="D12" s="1">
        <v>173.4</v>
      </c>
      <c r="L12" s="21"/>
    </row>
    <row r="13" spans="1:12" x14ac:dyDescent="0.55000000000000004">
      <c r="A13" s="3" t="s">
        <v>14</v>
      </c>
      <c r="B13" s="1">
        <v>191.1</v>
      </c>
      <c r="C13" s="1">
        <v>197.7</v>
      </c>
      <c r="D13" s="1">
        <v>194.2</v>
      </c>
      <c r="F13" s="16" t="s">
        <v>54</v>
      </c>
      <c r="G13" s="1" t="s">
        <v>58</v>
      </c>
      <c r="H13" s="1" t="s">
        <v>57</v>
      </c>
      <c r="I13" s="1" t="s">
        <v>56</v>
      </c>
      <c r="L13" s="21"/>
    </row>
    <row r="14" spans="1:12" x14ac:dyDescent="0.55000000000000004">
      <c r="A14" s="4" t="s">
        <v>15</v>
      </c>
      <c r="B14" s="1">
        <v>176.8</v>
      </c>
      <c r="C14" s="1">
        <v>183.1</v>
      </c>
      <c r="D14" s="1">
        <v>179.1</v>
      </c>
      <c r="F14" s="2" t="s">
        <v>51</v>
      </c>
      <c r="G14" s="17">
        <v>8.3733440028452039E-2</v>
      </c>
      <c r="H14" s="17">
        <v>8.3453640457669842E-2</v>
      </c>
      <c r="I14" s="17">
        <v>8.1664661395668622E-2</v>
      </c>
      <c r="L14" s="21"/>
    </row>
    <row r="15" spans="1:12" x14ac:dyDescent="0.55000000000000004">
      <c r="A15" s="4" t="s">
        <v>16</v>
      </c>
      <c r="B15" s="1">
        <v>199.9</v>
      </c>
      <c r="C15" s="1">
        <v>204.2</v>
      </c>
      <c r="D15" s="1">
        <v>201</v>
      </c>
      <c r="F15" s="2" t="s">
        <v>17</v>
      </c>
      <c r="G15" s="17">
        <v>0.12667822530452566</v>
      </c>
      <c r="H15" s="17">
        <v>0.1139218686030727</v>
      </c>
      <c r="I15" s="17">
        <v>0.11885527672739775</v>
      </c>
    </row>
    <row r="16" spans="1:12" x14ac:dyDescent="0.55000000000000004">
      <c r="A16" s="5" t="s">
        <v>17</v>
      </c>
      <c r="B16" s="1">
        <v>191.2</v>
      </c>
      <c r="C16" s="1">
        <v>181.3</v>
      </c>
      <c r="D16" s="1">
        <v>187.3</v>
      </c>
      <c r="F16" s="2" t="s">
        <v>26</v>
      </c>
      <c r="G16" s="17">
        <v>4.0077353961056279E-2</v>
      </c>
      <c r="H16" s="17">
        <v>3.766510806093646E-2</v>
      </c>
      <c r="I16" s="17">
        <v>3.8050017188037126E-2</v>
      </c>
      <c r="K16" s="21"/>
    </row>
    <row r="17" spans="1:12" x14ac:dyDescent="0.55000000000000004">
      <c r="A17" s="5" t="s">
        <v>18</v>
      </c>
      <c r="B17" s="1">
        <v>187.9</v>
      </c>
      <c r="C17" s="1">
        <v>168.1</v>
      </c>
      <c r="D17" s="1">
        <v>179.7</v>
      </c>
      <c r="F17" s="2" t="s">
        <v>52</v>
      </c>
      <c r="G17" s="17">
        <v>4.0566373255090243E-2</v>
      </c>
      <c r="H17" s="17">
        <v>3.9518196901463083E-2</v>
      </c>
      <c r="I17" s="17">
        <v>3.9274664833276046E-2</v>
      </c>
      <c r="K17" s="21"/>
      <c r="L17" s="23"/>
    </row>
    <row r="18" spans="1:12" x14ac:dyDescent="0.55000000000000004">
      <c r="A18" s="5" t="s">
        <v>19</v>
      </c>
      <c r="B18" s="1">
        <v>190.8</v>
      </c>
      <c r="C18" s="1">
        <v>179.3</v>
      </c>
      <c r="D18" s="1">
        <v>186.2</v>
      </c>
      <c r="F18" s="2" t="s">
        <v>50</v>
      </c>
      <c r="G18" s="17">
        <v>0.46988085711745364</v>
      </c>
      <c r="H18" s="17">
        <v>0.46370316102480125</v>
      </c>
      <c r="I18" s="17">
        <v>0.45715881746304582</v>
      </c>
      <c r="L18" s="23"/>
    </row>
    <row r="19" spans="1:12" x14ac:dyDescent="0.55000000000000004">
      <c r="A19" s="6" t="s">
        <v>20</v>
      </c>
      <c r="B19" s="1" t="s">
        <v>48</v>
      </c>
      <c r="C19" s="1">
        <v>175.6</v>
      </c>
      <c r="D19" s="1">
        <v>175.6</v>
      </c>
      <c r="F19" s="2" t="s">
        <v>23</v>
      </c>
      <c r="G19" s="17">
        <v>4.1744465190717527E-2</v>
      </c>
      <c r="H19" s="17">
        <v>3.9259626365575645E-2</v>
      </c>
      <c r="I19" s="17">
        <v>3.9897731179099345E-2</v>
      </c>
      <c r="L19" s="23"/>
    </row>
    <row r="20" spans="1:12" x14ac:dyDescent="0.55000000000000004">
      <c r="A20" s="7" t="s">
        <v>21</v>
      </c>
      <c r="B20" s="1">
        <v>182.5</v>
      </c>
      <c r="C20" s="1">
        <v>183.4</v>
      </c>
      <c r="D20" s="1">
        <v>182.8</v>
      </c>
      <c r="F20" s="2" t="s">
        <v>20</v>
      </c>
      <c r="G20" s="17">
        <v>0</v>
      </c>
      <c r="H20" s="17">
        <v>3.7837488418194745E-2</v>
      </c>
      <c r="I20" s="17">
        <v>3.7727741491921624E-2</v>
      </c>
    </row>
    <row r="21" spans="1:12" x14ac:dyDescent="0.55000000000000004">
      <c r="A21" s="8" t="s">
        <v>23</v>
      </c>
      <c r="B21" s="1">
        <v>187.8</v>
      </c>
      <c r="C21" s="1">
        <v>182.2</v>
      </c>
      <c r="D21" s="1">
        <v>185.7</v>
      </c>
      <c r="F21" s="2" t="s">
        <v>28</v>
      </c>
      <c r="G21" s="17">
        <v>0.159598115052903</v>
      </c>
      <c r="H21" s="17">
        <v>0.1500786485379991</v>
      </c>
      <c r="I21" s="17">
        <v>0.15196373324166382</v>
      </c>
    </row>
    <row r="22" spans="1:12" x14ac:dyDescent="0.55000000000000004">
      <c r="A22" s="9" t="s">
        <v>26</v>
      </c>
      <c r="B22" s="1">
        <v>180.3</v>
      </c>
      <c r="C22" s="1">
        <v>174.8</v>
      </c>
      <c r="D22" s="1">
        <v>177.1</v>
      </c>
      <c r="F22" s="2" t="s">
        <v>53</v>
      </c>
      <c r="G22" s="17">
        <v>3.772117008980172E-2</v>
      </c>
      <c r="H22" s="17">
        <v>3.4562261630287236E-2</v>
      </c>
      <c r="I22" s="17">
        <v>3.5407356479890004E-2</v>
      </c>
    </row>
    <row r="23" spans="1:12" x14ac:dyDescent="0.55000000000000004">
      <c r="A23" s="10" t="s">
        <v>24</v>
      </c>
      <c r="B23" s="1">
        <v>169.7</v>
      </c>
      <c r="C23" s="1">
        <v>160.4</v>
      </c>
      <c r="D23" s="1">
        <v>164.8</v>
      </c>
      <c r="F23" s="2" t="s">
        <v>55</v>
      </c>
      <c r="G23" s="17">
        <v>1</v>
      </c>
      <c r="H23" s="17">
        <v>1</v>
      </c>
      <c r="I23" s="17">
        <v>1</v>
      </c>
    </row>
    <row r="24" spans="1:12" x14ac:dyDescent="0.55000000000000004">
      <c r="A24" s="11" t="s">
        <v>25</v>
      </c>
      <c r="B24" s="1">
        <v>173.8</v>
      </c>
      <c r="C24" s="1">
        <v>169.2</v>
      </c>
      <c r="D24" s="1">
        <v>171.2</v>
      </c>
    </row>
    <row r="25" spans="1:12" x14ac:dyDescent="0.55000000000000004">
      <c r="A25" s="11" t="s">
        <v>22</v>
      </c>
      <c r="B25" s="1">
        <v>179.8</v>
      </c>
      <c r="C25" s="1">
        <v>170.1</v>
      </c>
      <c r="D25" s="1">
        <v>175.2</v>
      </c>
    </row>
    <row r="26" spans="1:12" x14ac:dyDescent="0.55000000000000004">
      <c r="A26" s="11" t="s">
        <v>27</v>
      </c>
      <c r="B26" s="1">
        <v>184.9</v>
      </c>
      <c r="C26" s="1">
        <v>185.6</v>
      </c>
      <c r="D26" s="1">
        <v>185.2</v>
      </c>
    </row>
    <row r="27" spans="1:12" x14ac:dyDescent="0.55000000000000004">
      <c r="A27" s="11" t="s">
        <v>28</v>
      </c>
      <c r="B27" s="1">
        <v>179.5</v>
      </c>
      <c r="C27" s="1">
        <v>171.6</v>
      </c>
      <c r="D27" s="1">
        <v>175.7</v>
      </c>
    </row>
    <row r="28" spans="1:12" x14ac:dyDescent="0.55000000000000004">
      <c r="B28" s="1"/>
      <c r="C28" s="1"/>
      <c r="D28" s="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6"/>
  <sheetViews>
    <sheetView zoomScale="74" zoomScaleNormal="85" workbookViewId="0">
      <selection activeCell="L37" sqref="L37"/>
    </sheetView>
  </sheetViews>
  <sheetFormatPr defaultRowHeight="14.4" x14ac:dyDescent="0.55000000000000004"/>
  <cols>
    <col min="1" max="1" width="10.62890625" bestFit="1" customWidth="1"/>
    <col min="2" max="2" width="4.9453125" bestFit="1" customWidth="1"/>
    <col min="4" max="4" width="35.3125" bestFit="1" customWidth="1"/>
    <col min="5" max="5" width="11.41796875" bestFit="1" customWidth="1"/>
    <col min="6" max="6" width="5.68359375" bestFit="1" customWidth="1"/>
    <col min="7" max="7" width="14.89453125" bestFit="1" customWidth="1"/>
    <col min="8" max="8" width="10.26171875" bestFit="1" customWidth="1"/>
    <col min="9" max="9" width="5.68359375" bestFit="1" customWidth="1"/>
    <col min="10" max="10" width="9.26171875" bestFit="1" customWidth="1"/>
    <col min="11" max="11" width="16.3125" bestFit="1" customWidth="1"/>
    <col min="12" max="12" width="20.1015625" bestFit="1" customWidth="1"/>
    <col min="13" max="13" width="5.68359375" bestFit="1" customWidth="1"/>
    <col min="14" max="14" width="20.1015625" bestFit="1" customWidth="1"/>
    <col min="15" max="15" width="28.7890625" bestFit="1" customWidth="1"/>
    <col min="16" max="16" width="16.5234375" bestFit="1" customWidth="1"/>
    <col min="17" max="17" width="23.3671875" bestFit="1" customWidth="1"/>
    <col min="18" max="18" width="7.15625" bestFit="1" customWidth="1"/>
    <col min="19" max="19" width="8.26171875" bestFit="1" customWidth="1"/>
    <col min="20" max="20" width="18.3125" bestFit="1" customWidth="1"/>
    <col min="21" max="21" width="7" bestFit="1" customWidth="1"/>
    <col min="22" max="22" width="11.1015625" bestFit="1" customWidth="1"/>
    <col min="23" max="23" width="24.41796875" bestFit="1" customWidth="1"/>
    <col min="24" max="24" width="5.83984375" bestFit="1" customWidth="1"/>
    <col min="25" max="25" width="24.68359375" bestFit="1" customWidth="1"/>
    <col min="26" max="26" width="22.5234375" bestFit="1" customWidth="1"/>
    <col min="27" max="27" width="8.5234375" bestFit="1" customWidth="1"/>
    <col min="28" max="28" width="20.47265625" bestFit="1" customWidth="1"/>
    <col min="29" max="29" width="11.83984375" bestFit="1" customWidth="1"/>
    <col min="30" max="30" width="11.47265625" bestFit="1" customWidth="1"/>
    <col min="31" max="31" width="10.734375" bestFit="1" customWidth="1"/>
  </cols>
  <sheetData>
    <row r="1" spans="1:3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1" x14ac:dyDescent="0.55000000000000004">
      <c r="A2" s="1" t="s">
        <v>34</v>
      </c>
      <c r="B2" s="1">
        <v>2017</v>
      </c>
      <c r="C2" s="1" t="s">
        <v>31</v>
      </c>
      <c r="D2" s="1">
        <v>132.80000000000001</v>
      </c>
      <c r="E2" s="1">
        <v>138.19999999999999</v>
      </c>
      <c r="F2" s="1">
        <v>132.19999999999999</v>
      </c>
      <c r="G2" s="1">
        <v>135.4</v>
      </c>
      <c r="H2" s="1">
        <v>119.1</v>
      </c>
      <c r="I2" s="1">
        <v>133</v>
      </c>
      <c r="J2" s="1">
        <v>119.4</v>
      </c>
      <c r="K2" s="1">
        <v>159.5</v>
      </c>
      <c r="L2" s="1">
        <v>115.6</v>
      </c>
      <c r="M2" s="1">
        <v>139.6</v>
      </c>
      <c r="N2" s="1">
        <v>126.6</v>
      </c>
      <c r="O2" s="1">
        <v>142.80000000000001</v>
      </c>
      <c r="P2" s="1">
        <v>133.1</v>
      </c>
      <c r="Q2" s="1">
        <v>143.80000000000001</v>
      </c>
      <c r="R2" s="1">
        <v>136.6</v>
      </c>
      <c r="S2" s="1">
        <v>130.19999999999999</v>
      </c>
      <c r="T2" s="1">
        <v>135.6</v>
      </c>
      <c r="U2" s="1">
        <v>129.6</v>
      </c>
      <c r="V2" s="1">
        <v>126.8</v>
      </c>
      <c r="W2" s="1">
        <v>129.4</v>
      </c>
      <c r="X2" s="1">
        <v>127.1</v>
      </c>
      <c r="Y2" s="1">
        <v>117</v>
      </c>
      <c r="Z2" s="1">
        <v>124.2</v>
      </c>
      <c r="AA2" s="1">
        <v>133.30000000000001</v>
      </c>
      <c r="AB2" s="1">
        <v>121.7</v>
      </c>
      <c r="AC2" s="1">
        <v>124.4</v>
      </c>
      <c r="AD2" s="1">
        <v>130.30000000000001</v>
      </c>
    </row>
    <row r="3" spans="1:31" x14ac:dyDescent="0.55000000000000004">
      <c r="A3" s="1" t="s">
        <v>34</v>
      </c>
      <c r="B3" s="1">
        <v>2017</v>
      </c>
      <c r="C3" s="1" t="s">
        <v>46</v>
      </c>
      <c r="D3" s="1">
        <v>135.80000000000001</v>
      </c>
      <c r="E3" s="1">
        <v>143.30000000000001</v>
      </c>
      <c r="F3" s="1">
        <v>145.19999999999999</v>
      </c>
      <c r="G3" s="1">
        <v>141</v>
      </c>
      <c r="H3" s="1">
        <v>120.5</v>
      </c>
      <c r="I3" s="1">
        <v>141.5</v>
      </c>
      <c r="J3" s="1">
        <v>161.69999999999999</v>
      </c>
      <c r="K3" s="1">
        <v>129.1</v>
      </c>
      <c r="L3" s="1">
        <v>121.5</v>
      </c>
      <c r="M3" s="1">
        <v>137.1</v>
      </c>
      <c r="N3" s="1">
        <v>128.80000000000001</v>
      </c>
      <c r="O3" s="1">
        <v>149</v>
      </c>
      <c r="P3" s="1">
        <v>140.5</v>
      </c>
      <c r="Q3" s="1">
        <v>154.19999999999999</v>
      </c>
      <c r="R3" s="1">
        <v>143.1</v>
      </c>
      <c r="S3" s="1">
        <v>135.1</v>
      </c>
      <c r="T3" s="1">
        <v>142</v>
      </c>
      <c r="U3" s="1">
        <v>139.1</v>
      </c>
      <c r="V3" s="1">
        <v>136.6</v>
      </c>
      <c r="W3" s="1">
        <v>134.69999999999999</v>
      </c>
      <c r="X3" s="1">
        <v>133.1</v>
      </c>
      <c r="Y3" s="1">
        <v>118.5</v>
      </c>
      <c r="Z3" s="1">
        <v>129</v>
      </c>
      <c r="AA3" s="1">
        <v>138.5</v>
      </c>
      <c r="AB3" s="1">
        <v>126.5</v>
      </c>
      <c r="AC3" s="1">
        <v>128.6</v>
      </c>
      <c r="AD3" s="1">
        <v>137.19999999999999</v>
      </c>
    </row>
    <row r="4" spans="1:31" x14ac:dyDescent="0.55000000000000004">
      <c r="A4" s="1" t="s">
        <v>34</v>
      </c>
      <c r="B4" s="1">
        <v>2018</v>
      </c>
      <c r="C4" s="1" t="s">
        <v>31</v>
      </c>
      <c r="D4" s="1">
        <v>136</v>
      </c>
      <c r="E4" s="1">
        <v>144.19999999999999</v>
      </c>
      <c r="F4" s="1">
        <v>143.69999999999999</v>
      </c>
      <c r="G4" s="1">
        <v>141.1</v>
      </c>
      <c r="H4" s="1">
        <v>120.7</v>
      </c>
      <c r="I4" s="1">
        <v>141.30000000000001</v>
      </c>
      <c r="J4" s="1">
        <v>151.6</v>
      </c>
      <c r="K4" s="1">
        <v>127.3</v>
      </c>
      <c r="L4" s="1">
        <v>118.8</v>
      </c>
      <c r="M4" s="1">
        <v>137.5</v>
      </c>
      <c r="N4" s="1">
        <v>129</v>
      </c>
      <c r="O4" s="1">
        <v>149.5</v>
      </c>
      <c r="P4" s="1">
        <v>139.19999999999999</v>
      </c>
      <c r="Q4" s="1">
        <v>154.69999999999999</v>
      </c>
      <c r="R4" s="1">
        <v>143.5</v>
      </c>
      <c r="S4" s="1">
        <v>135.5</v>
      </c>
      <c r="T4" s="1">
        <v>142.30000000000001</v>
      </c>
      <c r="U4" s="1">
        <v>140.4</v>
      </c>
      <c r="V4" s="1">
        <v>136.6</v>
      </c>
      <c r="W4" s="1">
        <v>134.9</v>
      </c>
      <c r="X4" s="1">
        <v>133.30000000000001</v>
      </c>
      <c r="Y4" s="1">
        <v>119.3</v>
      </c>
      <c r="Z4" s="1">
        <v>129.69999999999999</v>
      </c>
      <c r="AA4" s="1">
        <v>139</v>
      </c>
      <c r="AB4" s="1">
        <v>127.3</v>
      </c>
      <c r="AC4" s="1">
        <v>129.1</v>
      </c>
      <c r="AD4" s="1">
        <v>136.9</v>
      </c>
      <c r="AE4" s="12"/>
    </row>
    <row r="5" spans="1:31" x14ac:dyDescent="0.55000000000000004">
      <c r="A5" s="1" t="s">
        <v>34</v>
      </c>
      <c r="B5" s="1">
        <v>2018</v>
      </c>
      <c r="C5" s="1" t="s">
        <v>46</v>
      </c>
      <c r="D5" s="1">
        <v>137.5</v>
      </c>
      <c r="E5" s="1">
        <v>150.5</v>
      </c>
      <c r="F5" s="1">
        <v>138.80000000000001</v>
      </c>
      <c r="G5" s="1">
        <v>142.1</v>
      </c>
      <c r="H5" s="1">
        <v>122</v>
      </c>
      <c r="I5" s="1">
        <v>139.4</v>
      </c>
      <c r="J5" s="1">
        <v>135.19999999999999</v>
      </c>
      <c r="K5" s="1">
        <v>119.8</v>
      </c>
      <c r="L5" s="1">
        <v>110.3</v>
      </c>
      <c r="M5" s="1">
        <v>140.6</v>
      </c>
      <c r="N5" s="1">
        <v>133.80000000000001</v>
      </c>
      <c r="O5" s="1">
        <v>154.6</v>
      </c>
      <c r="P5" s="1">
        <v>138.19999999999999</v>
      </c>
      <c r="Q5" s="1">
        <v>163</v>
      </c>
      <c r="R5" s="1">
        <v>148.1</v>
      </c>
      <c r="S5" s="1">
        <v>139.4</v>
      </c>
      <c r="T5" s="1">
        <v>146.80000000000001</v>
      </c>
      <c r="U5" s="1">
        <v>146.5</v>
      </c>
      <c r="V5" s="1">
        <v>142.69999999999999</v>
      </c>
      <c r="W5" s="1">
        <v>143.19999999999999</v>
      </c>
      <c r="X5" s="1">
        <v>144.9</v>
      </c>
      <c r="Y5" s="1">
        <v>123.6</v>
      </c>
      <c r="Z5" s="1">
        <v>136.80000000000001</v>
      </c>
      <c r="AA5" s="1">
        <v>150.1</v>
      </c>
      <c r="AB5" s="1">
        <v>132.19999999999999</v>
      </c>
      <c r="AC5" s="1">
        <v>136.80000000000001</v>
      </c>
      <c r="AD5" s="1">
        <v>140.1</v>
      </c>
    </row>
    <row r="6" spans="1:31" x14ac:dyDescent="0.55000000000000004">
      <c r="A6" s="1" t="s">
        <v>34</v>
      </c>
      <c r="B6" s="1">
        <v>2019</v>
      </c>
      <c r="C6" s="1" t="s">
        <v>31</v>
      </c>
      <c r="D6" s="1">
        <v>137.1</v>
      </c>
      <c r="E6" s="1">
        <v>151.4</v>
      </c>
      <c r="F6" s="1">
        <v>140.19999999999999</v>
      </c>
      <c r="G6" s="1">
        <v>142.1</v>
      </c>
      <c r="H6" s="1">
        <v>121.8</v>
      </c>
      <c r="I6" s="1">
        <v>135.4</v>
      </c>
      <c r="J6" s="1">
        <v>131.30000000000001</v>
      </c>
      <c r="K6" s="1">
        <v>120.3</v>
      </c>
      <c r="L6" s="1">
        <v>109.1</v>
      </c>
      <c r="M6" s="1">
        <v>139.4</v>
      </c>
      <c r="N6" s="1">
        <v>133.30000000000001</v>
      </c>
      <c r="O6" s="1">
        <v>154.6</v>
      </c>
      <c r="P6" s="1">
        <v>137.4</v>
      </c>
      <c r="Q6" s="1">
        <v>163.19999999999999</v>
      </c>
      <c r="R6" s="1">
        <v>147.6</v>
      </c>
      <c r="S6" s="1">
        <v>139</v>
      </c>
      <c r="T6" s="1">
        <v>146.4</v>
      </c>
      <c r="U6" s="1">
        <v>147.69999999999999</v>
      </c>
      <c r="V6" s="1">
        <v>139.5</v>
      </c>
      <c r="W6" s="1">
        <v>143.6</v>
      </c>
      <c r="X6" s="1">
        <v>145.1</v>
      </c>
      <c r="Y6" s="1">
        <v>123.3</v>
      </c>
      <c r="Z6" s="1">
        <v>136.69999999999999</v>
      </c>
      <c r="AA6" s="1">
        <v>150.19999999999999</v>
      </c>
      <c r="AB6" s="1">
        <v>132.80000000000001</v>
      </c>
      <c r="AC6" s="1">
        <v>136.9</v>
      </c>
      <c r="AD6" s="1">
        <v>139.6</v>
      </c>
      <c r="AE6" s="12"/>
    </row>
    <row r="7" spans="1:31" x14ac:dyDescent="0.55000000000000004">
      <c r="A7" s="1" t="s">
        <v>34</v>
      </c>
      <c r="B7" s="1">
        <v>2019</v>
      </c>
      <c r="C7" s="1" t="s">
        <v>46</v>
      </c>
      <c r="D7" s="1">
        <v>143.5</v>
      </c>
      <c r="E7" s="1">
        <v>165</v>
      </c>
      <c r="F7" s="1">
        <v>151.1</v>
      </c>
      <c r="G7" s="1">
        <v>148.30000000000001</v>
      </c>
      <c r="H7" s="1">
        <v>125.7</v>
      </c>
      <c r="I7" s="1">
        <v>145.69999999999999</v>
      </c>
      <c r="J7" s="1">
        <v>217</v>
      </c>
      <c r="K7" s="1">
        <v>138.30000000000001</v>
      </c>
      <c r="L7" s="1">
        <v>114</v>
      </c>
      <c r="M7" s="1">
        <v>148.69999999999999</v>
      </c>
      <c r="N7" s="1">
        <v>135.80000000000001</v>
      </c>
      <c r="O7" s="1">
        <v>158</v>
      </c>
      <c r="P7" s="1">
        <v>155</v>
      </c>
      <c r="Q7" s="1">
        <v>168.5</v>
      </c>
      <c r="R7" s="1">
        <v>150.30000000000001</v>
      </c>
      <c r="S7" s="1">
        <v>141.30000000000001</v>
      </c>
      <c r="T7" s="1">
        <v>149</v>
      </c>
      <c r="U7" s="1">
        <v>152.80000000000001</v>
      </c>
      <c r="V7" s="1">
        <v>143.69999999999999</v>
      </c>
      <c r="W7" s="1">
        <v>145.80000000000001</v>
      </c>
      <c r="X7" s="1">
        <v>150.4</v>
      </c>
      <c r="Y7" s="1">
        <v>129.80000000000001</v>
      </c>
      <c r="Z7" s="1">
        <v>142.30000000000001</v>
      </c>
      <c r="AA7" s="1">
        <v>155.69999999999999</v>
      </c>
      <c r="AB7" s="1">
        <v>140.4</v>
      </c>
      <c r="AC7" s="1">
        <v>142.5</v>
      </c>
      <c r="AD7" s="1">
        <v>150.4</v>
      </c>
    </row>
    <row r="8" spans="1:31" x14ac:dyDescent="0.55000000000000004">
      <c r="A8" s="1" t="s">
        <v>34</v>
      </c>
      <c r="B8" s="1">
        <v>2020</v>
      </c>
      <c r="C8" s="1" t="s">
        <v>31</v>
      </c>
      <c r="D8" s="1">
        <v>144.30000000000001</v>
      </c>
      <c r="E8" s="1">
        <v>167.4</v>
      </c>
      <c r="F8" s="1">
        <v>154.9</v>
      </c>
      <c r="G8" s="1">
        <v>150.1</v>
      </c>
      <c r="H8" s="1">
        <v>129.9</v>
      </c>
      <c r="I8" s="1">
        <v>143.19999999999999</v>
      </c>
      <c r="J8" s="1">
        <v>197</v>
      </c>
      <c r="K8" s="1">
        <v>140.4</v>
      </c>
      <c r="L8" s="1">
        <v>114.1</v>
      </c>
      <c r="M8" s="1">
        <v>150.9</v>
      </c>
      <c r="N8" s="1">
        <v>136.1</v>
      </c>
      <c r="O8" s="1">
        <v>158.6</v>
      </c>
      <c r="P8" s="1">
        <v>153.5</v>
      </c>
      <c r="Q8" s="1">
        <v>169.2</v>
      </c>
      <c r="R8" s="1">
        <v>150.5</v>
      </c>
      <c r="S8" s="1">
        <v>141.5</v>
      </c>
      <c r="T8" s="1">
        <v>149.19999999999999</v>
      </c>
      <c r="U8" s="1">
        <v>153.9</v>
      </c>
      <c r="V8" s="1">
        <v>144.6</v>
      </c>
      <c r="W8" s="1">
        <v>146.19999999999999</v>
      </c>
      <c r="X8" s="1">
        <v>151.19999999999999</v>
      </c>
      <c r="Y8" s="1">
        <v>130.9</v>
      </c>
      <c r="Z8" s="1">
        <v>142.80000000000001</v>
      </c>
      <c r="AA8" s="1">
        <v>156.1</v>
      </c>
      <c r="AB8" s="1">
        <v>142.30000000000001</v>
      </c>
      <c r="AC8" s="1">
        <v>143.4</v>
      </c>
      <c r="AD8" s="1">
        <v>150.19999999999999</v>
      </c>
      <c r="AE8" s="12"/>
    </row>
    <row r="9" spans="1:31" x14ac:dyDescent="0.55000000000000004">
      <c r="A9" s="1" t="s">
        <v>34</v>
      </c>
      <c r="B9" s="1">
        <v>2020</v>
      </c>
      <c r="C9" s="1" t="s">
        <v>46</v>
      </c>
      <c r="D9" s="1">
        <v>146</v>
      </c>
      <c r="E9" s="1">
        <v>191</v>
      </c>
      <c r="F9" s="1">
        <v>175.3</v>
      </c>
      <c r="G9" s="1">
        <v>154.1</v>
      </c>
      <c r="H9" s="1">
        <v>146.6</v>
      </c>
      <c r="I9" s="1">
        <v>147.69999999999999</v>
      </c>
      <c r="J9" s="1">
        <v>230.5</v>
      </c>
      <c r="K9" s="1">
        <v>160.19999999999999</v>
      </c>
      <c r="L9" s="1">
        <v>115.3</v>
      </c>
      <c r="M9" s="1">
        <v>163</v>
      </c>
      <c r="N9" s="1">
        <v>149.19999999999999</v>
      </c>
      <c r="O9" s="1">
        <v>164.8</v>
      </c>
      <c r="P9" s="1">
        <v>165.4</v>
      </c>
      <c r="Q9" s="1">
        <v>185.4</v>
      </c>
      <c r="R9" s="1">
        <v>155</v>
      </c>
      <c r="S9" s="1">
        <v>145.4</v>
      </c>
      <c r="T9" s="1">
        <v>153.6</v>
      </c>
      <c r="U9" s="1">
        <v>158.4</v>
      </c>
      <c r="V9" s="1">
        <v>144.6</v>
      </c>
      <c r="W9" s="1">
        <v>149.69999999999999</v>
      </c>
      <c r="X9" s="1">
        <v>158.30000000000001</v>
      </c>
      <c r="Y9" s="1">
        <v>140.69999999999999</v>
      </c>
      <c r="Z9" s="1">
        <v>148.5</v>
      </c>
      <c r="AA9" s="1">
        <v>159.4</v>
      </c>
      <c r="AB9" s="1">
        <v>157.1</v>
      </c>
      <c r="AC9" s="1">
        <v>151.19999999999999</v>
      </c>
      <c r="AD9" s="1">
        <v>158.9</v>
      </c>
    </row>
    <row r="10" spans="1:31" x14ac:dyDescent="0.55000000000000004">
      <c r="A10" s="1" t="s">
        <v>34</v>
      </c>
      <c r="B10" s="1">
        <v>2021</v>
      </c>
      <c r="C10" s="1" t="s">
        <v>31</v>
      </c>
      <c r="D10" s="1">
        <v>144.9</v>
      </c>
      <c r="E10" s="1">
        <v>190.1</v>
      </c>
      <c r="F10" s="1">
        <v>175.3</v>
      </c>
      <c r="G10" s="1">
        <v>154.1</v>
      </c>
      <c r="H10" s="1">
        <v>150.9</v>
      </c>
      <c r="I10" s="1">
        <v>149.6</v>
      </c>
      <c r="J10" s="1">
        <v>194.2</v>
      </c>
      <c r="K10" s="1">
        <v>160.4</v>
      </c>
      <c r="L10" s="1">
        <v>114.6</v>
      </c>
      <c r="M10" s="1">
        <v>164</v>
      </c>
      <c r="N10" s="1">
        <v>151.80000000000001</v>
      </c>
      <c r="O10" s="1">
        <v>165.6</v>
      </c>
      <c r="P10" s="1">
        <v>161</v>
      </c>
      <c r="Q10" s="1">
        <v>186.5</v>
      </c>
      <c r="R10" s="1">
        <v>155.5</v>
      </c>
      <c r="S10" s="1">
        <v>146.1</v>
      </c>
      <c r="T10" s="1">
        <v>154.19999999999999</v>
      </c>
      <c r="U10" s="1">
        <v>157.69999999999999</v>
      </c>
      <c r="V10" s="1">
        <v>147.9</v>
      </c>
      <c r="W10" s="1">
        <v>150</v>
      </c>
      <c r="X10" s="1">
        <v>159.30000000000001</v>
      </c>
      <c r="Y10" s="1">
        <v>141.9</v>
      </c>
      <c r="Z10" s="1">
        <v>149.6</v>
      </c>
      <c r="AA10" s="1">
        <v>159.19999999999999</v>
      </c>
      <c r="AB10" s="1">
        <v>156.80000000000001</v>
      </c>
      <c r="AC10" s="1">
        <v>151.9</v>
      </c>
      <c r="AD10" s="1">
        <v>157.30000000000001</v>
      </c>
      <c r="AE10" s="12"/>
    </row>
    <row r="11" spans="1:31" x14ac:dyDescent="0.55000000000000004">
      <c r="A11" s="1" t="s">
        <v>34</v>
      </c>
      <c r="B11" s="1">
        <v>2021</v>
      </c>
      <c r="C11" s="1" t="s">
        <v>46</v>
      </c>
      <c r="D11" s="1">
        <v>148.69999999999999</v>
      </c>
      <c r="E11" s="1">
        <v>198.8</v>
      </c>
      <c r="F11" s="1">
        <v>177.9</v>
      </c>
      <c r="G11" s="1">
        <v>159.9</v>
      </c>
      <c r="H11" s="1">
        <v>187.6</v>
      </c>
      <c r="I11" s="1">
        <v>154.9</v>
      </c>
      <c r="J11" s="1">
        <v>188.3</v>
      </c>
      <c r="K11" s="1">
        <v>164.4</v>
      </c>
      <c r="L11" s="1">
        <v>121</v>
      </c>
      <c r="M11" s="1">
        <v>170.5</v>
      </c>
      <c r="N11" s="1">
        <v>164.2</v>
      </c>
      <c r="O11" s="1">
        <v>176.5</v>
      </c>
      <c r="P11" s="1">
        <v>168.2</v>
      </c>
      <c r="Q11" s="1">
        <v>192.4</v>
      </c>
      <c r="R11" s="1">
        <v>168.5</v>
      </c>
      <c r="S11" s="1">
        <v>158.69999999999999</v>
      </c>
      <c r="T11" s="1">
        <v>167</v>
      </c>
      <c r="U11" s="1">
        <v>163.4</v>
      </c>
      <c r="V11" s="1">
        <v>164.1</v>
      </c>
      <c r="W11" s="1">
        <v>160.19999999999999</v>
      </c>
      <c r="X11" s="1">
        <v>170.6</v>
      </c>
      <c r="Y11" s="1">
        <v>155.69999999999999</v>
      </c>
      <c r="Z11" s="1">
        <v>160.6</v>
      </c>
      <c r="AA11" s="1">
        <v>164.4</v>
      </c>
      <c r="AB11" s="1">
        <v>162.6</v>
      </c>
      <c r="AC11" s="1">
        <v>162</v>
      </c>
      <c r="AD11" s="1">
        <v>166.2</v>
      </c>
    </row>
    <row r="12" spans="1:31" x14ac:dyDescent="0.55000000000000004">
      <c r="A12" s="1" t="s">
        <v>34</v>
      </c>
      <c r="B12" s="1">
        <v>2022</v>
      </c>
      <c r="C12" s="1" t="s">
        <v>31</v>
      </c>
      <c r="D12" s="1">
        <v>149.5</v>
      </c>
      <c r="E12" s="1">
        <v>198.7</v>
      </c>
      <c r="F12" s="1">
        <v>178.8</v>
      </c>
      <c r="G12" s="1">
        <v>160.5</v>
      </c>
      <c r="H12" s="1">
        <v>184.7</v>
      </c>
      <c r="I12" s="1">
        <v>153.69999999999999</v>
      </c>
      <c r="J12" s="1">
        <v>174.3</v>
      </c>
      <c r="K12" s="1">
        <v>163.9</v>
      </c>
      <c r="L12" s="1">
        <v>120</v>
      </c>
      <c r="M12" s="1">
        <v>172.1</v>
      </c>
      <c r="N12" s="1">
        <v>164.3</v>
      </c>
      <c r="O12" s="1">
        <v>177.3</v>
      </c>
      <c r="P12" s="1">
        <v>166.4</v>
      </c>
      <c r="Q12" s="1">
        <v>192.2</v>
      </c>
      <c r="R12" s="1">
        <v>169.9</v>
      </c>
      <c r="S12" s="1">
        <v>160.69999999999999</v>
      </c>
      <c r="T12" s="1">
        <v>168.5</v>
      </c>
      <c r="U12" s="1">
        <v>164.5</v>
      </c>
      <c r="V12" s="1">
        <v>164.2</v>
      </c>
      <c r="W12" s="1">
        <v>161.1</v>
      </c>
      <c r="X12" s="1">
        <v>171.4</v>
      </c>
      <c r="Y12" s="1">
        <v>156.5</v>
      </c>
      <c r="Z12" s="1">
        <v>161.19999999999999</v>
      </c>
      <c r="AA12" s="1">
        <v>164.7</v>
      </c>
      <c r="AB12" s="1">
        <v>163</v>
      </c>
      <c r="AC12" s="1">
        <v>162.69999999999999</v>
      </c>
      <c r="AD12" s="1">
        <v>165.7</v>
      </c>
      <c r="AE12" s="12"/>
    </row>
    <row r="13" spans="1:31" x14ac:dyDescent="0.55000000000000004">
      <c r="A13" s="1" t="s">
        <v>34</v>
      </c>
      <c r="B13" s="1">
        <v>2022</v>
      </c>
      <c r="C13" s="1" t="s">
        <v>46</v>
      </c>
      <c r="D13" s="1">
        <v>169.2</v>
      </c>
      <c r="E13" s="1">
        <v>209</v>
      </c>
      <c r="F13" s="1">
        <v>190.2</v>
      </c>
      <c r="G13" s="1">
        <v>173.6</v>
      </c>
      <c r="H13" s="1">
        <v>188.5</v>
      </c>
      <c r="I13" s="1">
        <v>158</v>
      </c>
      <c r="J13" s="1">
        <v>159.9</v>
      </c>
      <c r="K13" s="1">
        <v>170.8</v>
      </c>
      <c r="L13" s="1">
        <v>121.8</v>
      </c>
      <c r="M13" s="1">
        <v>205.2</v>
      </c>
      <c r="N13" s="1">
        <v>171</v>
      </c>
      <c r="O13" s="1">
        <v>190.3</v>
      </c>
      <c r="P13" s="1">
        <v>175.9</v>
      </c>
      <c r="Q13" s="1">
        <v>197.3</v>
      </c>
      <c r="R13" s="1">
        <v>184</v>
      </c>
      <c r="S13" s="1">
        <v>177</v>
      </c>
      <c r="T13" s="1">
        <v>183</v>
      </c>
      <c r="U13" s="1">
        <v>170.7</v>
      </c>
      <c r="V13" s="1">
        <v>182</v>
      </c>
      <c r="W13" s="1">
        <v>172.1</v>
      </c>
      <c r="X13" s="1">
        <v>181.1</v>
      </c>
      <c r="Y13" s="1">
        <v>163.4</v>
      </c>
      <c r="Z13" s="1">
        <v>168.9</v>
      </c>
      <c r="AA13" s="1">
        <v>174.1</v>
      </c>
      <c r="AB13" s="1">
        <v>175.8</v>
      </c>
      <c r="AC13" s="1">
        <v>172</v>
      </c>
      <c r="AD13" s="1">
        <v>175.7</v>
      </c>
    </row>
    <row r="14" spans="1:31" x14ac:dyDescent="0.55000000000000004">
      <c r="A14" s="1" t="s">
        <v>34</v>
      </c>
      <c r="B14" s="1">
        <v>2023</v>
      </c>
      <c r="C14" s="1" t="s">
        <v>31</v>
      </c>
      <c r="D14" s="1">
        <v>173.8</v>
      </c>
      <c r="E14" s="1">
        <v>210.7</v>
      </c>
      <c r="F14" s="1">
        <v>194.5</v>
      </c>
      <c r="G14" s="1">
        <v>174.6</v>
      </c>
      <c r="H14" s="1">
        <v>187.2</v>
      </c>
      <c r="I14" s="1">
        <v>158.30000000000001</v>
      </c>
      <c r="J14" s="1">
        <v>153.9</v>
      </c>
      <c r="K14" s="1">
        <v>170.9</v>
      </c>
      <c r="L14" s="1">
        <v>121.1</v>
      </c>
      <c r="M14" s="1">
        <v>208.4</v>
      </c>
      <c r="N14" s="1">
        <v>171.4</v>
      </c>
      <c r="O14" s="1">
        <v>191.2</v>
      </c>
      <c r="P14" s="1">
        <v>176.7</v>
      </c>
      <c r="Q14" s="1">
        <v>198.2</v>
      </c>
      <c r="R14" s="1">
        <v>184.9</v>
      </c>
      <c r="S14" s="1">
        <v>177.6</v>
      </c>
      <c r="T14" s="1">
        <v>183.8</v>
      </c>
      <c r="U14" s="1">
        <v>172.1</v>
      </c>
      <c r="V14" s="1">
        <v>182</v>
      </c>
      <c r="W14" s="1">
        <v>172.9</v>
      </c>
      <c r="X14" s="1">
        <v>182.3</v>
      </c>
      <c r="Y14" s="1">
        <v>163.6</v>
      </c>
      <c r="Z14" s="1">
        <v>169.5</v>
      </c>
      <c r="AA14" s="1">
        <v>174.3</v>
      </c>
      <c r="AB14" s="1">
        <v>178.6</v>
      </c>
      <c r="AC14" s="1">
        <v>172.8</v>
      </c>
      <c r="AD14" s="1">
        <v>176.5</v>
      </c>
      <c r="AE14" s="12"/>
    </row>
    <row r="15" spans="1:31" x14ac:dyDescent="0.55000000000000004">
      <c r="AE15" s="12"/>
    </row>
    <row r="16" spans="1:31" x14ac:dyDescent="0.55000000000000004">
      <c r="C16" s="69" t="s">
        <v>66</v>
      </c>
      <c r="D16" s="69" t="s">
        <v>67</v>
      </c>
    </row>
    <row r="17" spans="3:26" x14ac:dyDescent="0.55000000000000004">
      <c r="C17" s="15">
        <v>2018</v>
      </c>
      <c r="D17" s="27">
        <f>(AD3-AD2)/AD2%</f>
        <v>5.2954719877206262</v>
      </c>
    </row>
    <row r="18" spans="3:26" x14ac:dyDescent="0.55000000000000004">
      <c r="C18" s="15">
        <v>2019</v>
      </c>
      <c r="D18" s="27">
        <f>(AD5-AD4)/AD4%</f>
        <v>2.3374726077428698</v>
      </c>
    </row>
    <row r="19" spans="3:26" x14ac:dyDescent="0.55000000000000004">
      <c r="C19" s="15">
        <v>2020</v>
      </c>
      <c r="D19" s="27">
        <f>(AD7-AD6)/AD6%</f>
        <v>7.7363896848137621</v>
      </c>
    </row>
    <row r="20" spans="3:26" x14ac:dyDescent="0.55000000000000004">
      <c r="C20" s="15">
        <v>2021</v>
      </c>
      <c r="D20" s="27">
        <f>(AD9-AD8)/AD8%</f>
        <v>5.7922769640479483</v>
      </c>
    </row>
    <row r="21" spans="3:26" x14ac:dyDescent="0.55000000000000004">
      <c r="C21" s="15">
        <v>2022</v>
      </c>
      <c r="D21" s="27">
        <f>(AD11-AD10)/AD10%</f>
        <v>5.6579783852510976</v>
      </c>
    </row>
    <row r="22" spans="3:26" x14ac:dyDescent="0.55000000000000004">
      <c r="C22" s="15">
        <v>2023</v>
      </c>
      <c r="D22" s="27">
        <f>(AD13-AD12)/AD12%</f>
        <v>6.0350030175015092</v>
      </c>
    </row>
    <row r="25" spans="3:26" x14ac:dyDescent="0.55000000000000004">
      <c r="Z25" s="12"/>
    </row>
    <row r="26" spans="3:26" x14ac:dyDescent="0.55000000000000004">
      <c r="Z26" s="12"/>
    </row>
    <row r="27" spans="3:26" x14ac:dyDescent="0.55000000000000004">
      <c r="Z27" s="12"/>
    </row>
    <row r="28" spans="3:26" x14ac:dyDescent="0.55000000000000004">
      <c r="Z28" s="12"/>
    </row>
    <row r="29" spans="3:26" x14ac:dyDescent="0.55000000000000004">
      <c r="Z29" s="12"/>
    </row>
    <row r="30" spans="3:26" x14ac:dyDescent="0.55000000000000004">
      <c r="Z30" s="12"/>
    </row>
    <row r="31" spans="3:26" x14ac:dyDescent="0.55000000000000004">
      <c r="Z31" s="12"/>
    </row>
    <row r="45" spans="5:13" x14ac:dyDescent="0.55000000000000004">
      <c r="E45" s="90"/>
      <c r="F45" s="90"/>
      <c r="G45" s="90"/>
      <c r="H45" s="90"/>
      <c r="I45" s="90"/>
      <c r="J45" s="90"/>
      <c r="K45" s="90"/>
      <c r="L45" s="90"/>
      <c r="M45" s="90"/>
    </row>
    <row r="46" spans="5:13" x14ac:dyDescent="0.55000000000000004">
      <c r="E46" s="90"/>
      <c r="F46" s="90"/>
      <c r="G46" s="90"/>
      <c r="H46" s="90"/>
      <c r="I46" s="90"/>
      <c r="J46" s="90"/>
      <c r="K46" s="90"/>
      <c r="L46" s="90"/>
      <c r="M46" s="90"/>
    </row>
  </sheetData>
  <mergeCells count="1">
    <mergeCell ref="E45:M4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D1EA-376E-4500-B52E-ED0EEBC0454B}">
  <dimension ref="A1:AB58"/>
  <sheetViews>
    <sheetView zoomScale="85" zoomScaleNormal="85" workbookViewId="0">
      <pane ySplit="1" topLeftCell="A2" activePane="bottomLeft" state="frozen"/>
      <selection pane="bottomLeft" activeCell="AB26" sqref="AB26"/>
    </sheetView>
  </sheetViews>
  <sheetFormatPr defaultRowHeight="14.4" x14ac:dyDescent="0.55000000000000004"/>
  <cols>
    <col min="1" max="1" width="12.26171875" style="2" bestFit="1" customWidth="1"/>
    <col min="2" max="2" width="74.9453125" customWidth="1"/>
    <col min="3" max="3" width="11.15625" bestFit="1" customWidth="1"/>
    <col min="4" max="4" width="22.26171875" bestFit="1" customWidth="1"/>
    <col min="5" max="5" width="28.5234375" style="25" bestFit="1" customWidth="1"/>
    <col min="6" max="6" width="16.5234375" bestFit="1" customWidth="1"/>
    <col min="7" max="7" width="22.83984375" bestFit="1" customWidth="1"/>
    <col min="8" max="8" width="8.68359375" bestFit="1" customWidth="1"/>
    <col min="9" max="9" width="15.578125" bestFit="1" customWidth="1"/>
    <col min="10" max="10" width="19.9453125" bestFit="1" customWidth="1"/>
    <col min="11" max="11" width="26.26171875" bestFit="1" customWidth="1"/>
    <col min="12" max="12" width="15.41796875" bestFit="1" customWidth="1"/>
    <col min="13" max="13" width="21.68359375" bestFit="1" customWidth="1"/>
    <col min="14" max="14" width="10.20703125" bestFit="1" customWidth="1"/>
    <col min="15" max="15" width="16.41796875" bestFit="1" customWidth="1"/>
    <col min="16" max="16" width="14.41796875" bestFit="1" customWidth="1"/>
    <col min="17" max="17" width="20.68359375" bestFit="1" customWidth="1"/>
    <col min="18" max="18" width="21.3671875" bestFit="1" customWidth="1"/>
    <col min="19" max="19" width="27.68359375" bestFit="1" customWidth="1"/>
    <col min="20" max="20" width="25" bestFit="1" customWidth="1"/>
    <col min="21" max="21" width="31.3125" bestFit="1" customWidth="1"/>
    <col min="22" max="22" width="10.62890625" bestFit="1" customWidth="1"/>
    <col min="23" max="23" width="17.26171875" bestFit="1" customWidth="1"/>
    <col min="24" max="24" width="24.9453125" bestFit="1" customWidth="1"/>
    <col min="25" max="25" width="31.26171875" bestFit="1" customWidth="1"/>
    <col min="26" max="26" width="33.7890625" bestFit="1" customWidth="1"/>
    <col min="27" max="27" width="40.1015625" bestFit="1" customWidth="1"/>
    <col min="28" max="28" width="63.15625" bestFit="1" customWidth="1"/>
  </cols>
  <sheetData>
    <row r="1" spans="1:28" x14ac:dyDescent="0.55000000000000004">
      <c r="A1" s="2" t="s">
        <v>0</v>
      </c>
      <c r="B1" s="1" t="s">
        <v>1</v>
      </c>
      <c r="C1" s="1" t="s">
        <v>2</v>
      </c>
      <c r="D1" s="1" t="s">
        <v>3</v>
      </c>
      <c r="E1" s="73" t="s">
        <v>68</v>
      </c>
      <c r="F1" s="1" t="s">
        <v>4</v>
      </c>
      <c r="G1" s="28" t="s">
        <v>69</v>
      </c>
      <c r="H1" s="1" t="s">
        <v>5</v>
      </c>
      <c r="I1" s="28" t="s">
        <v>70</v>
      </c>
      <c r="J1" s="1" t="s">
        <v>6</v>
      </c>
      <c r="K1" s="28" t="s">
        <v>71</v>
      </c>
      <c r="L1" s="1" t="s">
        <v>7</v>
      </c>
      <c r="M1" s="28" t="s">
        <v>72</v>
      </c>
      <c r="N1" s="1" t="s">
        <v>8</v>
      </c>
      <c r="O1" s="28" t="s">
        <v>73</v>
      </c>
      <c r="P1" s="1" t="s">
        <v>9</v>
      </c>
      <c r="Q1" s="28" t="s">
        <v>74</v>
      </c>
      <c r="R1" s="1" t="s">
        <v>10</v>
      </c>
      <c r="S1" s="28" t="s">
        <v>75</v>
      </c>
      <c r="T1" s="1" t="s">
        <v>11</v>
      </c>
      <c r="U1" s="28" t="s">
        <v>76</v>
      </c>
      <c r="V1" s="1" t="s">
        <v>12</v>
      </c>
      <c r="W1" s="28" t="s">
        <v>77</v>
      </c>
      <c r="X1" s="1" t="s">
        <v>13</v>
      </c>
      <c r="Y1" s="28" t="s">
        <v>79</v>
      </c>
      <c r="Z1" s="1" t="s">
        <v>14</v>
      </c>
      <c r="AA1" s="28" t="s">
        <v>78</v>
      </c>
      <c r="AB1" s="1" t="s">
        <v>144</v>
      </c>
    </row>
    <row r="2" spans="1:28" x14ac:dyDescent="0.55000000000000004">
      <c r="A2" s="2" t="s">
        <v>30</v>
      </c>
      <c r="B2" s="1">
        <v>2022</v>
      </c>
      <c r="C2" s="1" t="s">
        <v>39</v>
      </c>
      <c r="D2" s="1">
        <v>153.80000000000001</v>
      </c>
      <c r="E2" s="25">
        <f>(D3/D2-1)*100</f>
        <v>2.4057217165149414</v>
      </c>
      <c r="F2" s="1">
        <v>217.2</v>
      </c>
      <c r="G2" s="1">
        <f>(F3-F2)/F2%</f>
        <v>2.854511970534078</v>
      </c>
      <c r="H2" s="1">
        <v>169.6</v>
      </c>
      <c r="I2" s="1">
        <f>(H3-H2)/H2%</f>
        <v>1.8867924528301987</v>
      </c>
      <c r="J2" s="1">
        <v>165.4</v>
      </c>
      <c r="K2" s="1">
        <f>(J3-J2)/J2%</f>
        <v>0.60459492140266013</v>
      </c>
      <c r="L2" s="1">
        <v>208.1</v>
      </c>
      <c r="M2" s="1">
        <f>(L3-L2)/L2%</f>
        <v>-9.3704949543488709</v>
      </c>
      <c r="N2" s="1">
        <v>165.8</v>
      </c>
      <c r="O2" s="1">
        <f>(N3-N2)/N2%</f>
        <v>5.0060313630880469</v>
      </c>
      <c r="P2" s="1">
        <v>167.3</v>
      </c>
      <c r="Q2" s="1">
        <f>(P3-P2)/P2%</f>
        <v>26.419605499103401</v>
      </c>
      <c r="R2" s="1">
        <v>164.6</v>
      </c>
      <c r="S2" s="1">
        <f>(R3-R2)/R2%</f>
        <v>-0.60753341433778862</v>
      </c>
      <c r="T2" s="1">
        <v>119.1</v>
      </c>
      <c r="U2" s="1">
        <f>(T3-T2)/T2%</f>
        <v>1.9311502938707068</v>
      </c>
      <c r="V2" s="1">
        <v>188.9</v>
      </c>
      <c r="W2" s="1">
        <f>(V3-V2)/V2%</f>
        <v>-2.8586553732133435</v>
      </c>
      <c r="X2" s="1">
        <v>174.2</v>
      </c>
      <c r="Y2" s="1">
        <f>(X3-X2)/X2%</f>
        <v>-8.66819747416762</v>
      </c>
      <c r="Z2" s="1">
        <v>181.9</v>
      </c>
      <c r="AA2" s="1">
        <f>(Z3-Z2)/Z2%</f>
        <v>2.41891148982958</v>
      </c>
      <c r="AB2" s="1">
        <f>E2+G2+I2+K2+M2+O2+Q2+S2+U2+W2+Y2+AA2</f>
        <v>22.022438491105991</v>
      </c>
    </row>
    <row r="3" spans="1:28" x14ac:dyDescent="0.55000000000000004">
      <c r="A3" s="2" t="s">
        <v>33</v>
      </c>
      <c r="B3" s="1">
        <v>2022</v>
      </c>
      <c r="C3" s="1" t="s">
        <v>39</v>
      </c>
      <c r="D3" s="1">
        <v>157.5</v>
      </c>
      <c r="E3" s="25">
        <f t="shared" ref="E3:E37" si="0">(D4/D3-1)*100</f>
        <v>-1.5873015873015928</v>
      </c>
      <c r="F3" s="1">
        <v>223.4</v>
      </c>
      <c r="G3" s="1">
        <f t="shared" ref="G3:G37" si="1">(F4-F3)/F3%</f>
        <v>-1.7905102954341987</v>
      </c>
      <c r="H3" s="1">
        <v>172.8</v>
      </c>
      <c r="I3" s="1">
        <f t="shared" ref="I3:I37" si="2">(H4-H3)/H3%</f>
        <v>-1.1574074074074072</v>
      </c>
      <c r="J3" s="1">
        <v>166.4</v>
      </c>
      <c r="K3" s="1">
        <f t="shared" ref="K3:K37" si="3">(J4-J3)/J3%</f>
        <v>-0.36057692307691963</v>
      </c>
      <c r="L3" s="1">
        <v>188.6</v>
      </c>
      <c r="M3" s="1">
        <f t="shared" ref="M3:M37" si="4">(L4-L3)/L3%</f>
        <v>6.5217391304347894</v>
      </c>
      <c r="N3" s="1">
        <v>174.1</v>
      </c>
      <c r="O3" s="1">
        <f t="shared" ref="O3:O37" si="5">(N4-N3)/N3%</f>
        <v>-2.5272831705916174</v>
      </c>
      <c r="P3" s="1">
        <v>211.5</v>
      </c>
      <c r="Q3" s="1">
        <f t="shared" ref="Q3:Q37" si="6">(P4-P3)/P3%</f>
        <v>-13.806146572104012</v>
      </c>
      <c r="R3" s="1">
        <v>163.6</v>
      </c>
      <c r="S3" s="1">
        <f t="shared" ref="S3:S37" si="7">(R4-R3)/R3%</f>
        <v>0.42787286063570729</v>
      </c>
      <c r="T3" s="1">
        <v>121.4</v>
      </c>
      <c r="U3" s="1">
        <f t="shared" ref="U3:U37" si="8">(T4-T3)/T3%</f>
        <v>-1.2355848434925865</v>
      </c>
      <c r="V3" s="1">
        <v>183.5</v>
      </c>
      <c r="W3" s="1">
        <f t="shared" ref="W3:W37" si="9">(V4-V3)/V3%</f>
        <v>1.9618528610354193</v>
      </c>
      <c r="X3" s="1">
        <v>159.1</v>
      </c>
      <c r="Y3" s="1">
        <f t="shared" ref="Y3:Y37" si="10">(X4-X3)/X3%</f>
        <v>5.5311125078567009</v>
      </c>
      <c r="Z3" s="1">
        <v>186.3</v>
      </c>
      <c r="AA3" s="1">
        <f t="shared" ref="AA3:AA36" si="11">(Z4-Z3)/Z3%</f>
        <v>-1.2882447665056389</v>
      </c>
      <c r="AB3" s="1">
        <f t="shared" ref="AB3:AB37" si="12">E3+G3+I3+K3+M3+O3+Q3+S3+U3+W3+Y3+AA3</f>
        <v>-9.3104782059513571</v>
      </c>
    </row>
    <row r="4" spans="1:28" x14ac:dyDescent="0.55000000000000004">
      <c r="A4" s="2" t="s">
        <v>34</v>
      </c>
      <c r="B4" s="1">
        <v>2022</v>
      </c>
      <c r="C4" s="1" t="s">
        <v>39</v>
      </c>
      <c r="D4" s="1">
        <v>155</v>
      </c>
      <c r="E4" s="25">
        <f t="shared" si="0"/>
        <v>0.1290322580645098</v>
      </c>
      <c r="F4" s="1">
        <v>219.4</v>
      </c>
      <c r="G4" s="1">
        <f t="shared" si="1"/>
        <v>-3.9197812215132153</v>
      </c>
      <c r="H4" s="1">
        <v>170.8</v>
      </c>
      <c r="I4" s="1">
        <f t="shared" si="2"/>
        <v>2.0491803278688523</v>
      </c>
      <c r="J4" s="1">
        <v>165.8</v>
      </c>
      <c r="K4" s="1">
        <f t="shared" si="3"/>
        <v>0.30156815440289503</v>
      </c>
      <c r="L4" s="1">
        <v>200.9</v>
      </c>
      <c r="M4" s="1">
        <f t="shared" si="4"/>
        <v>0.64708810353408808</v>
      </c>
      <c r="N4" s="1">
        <v>169.7</v>
      </c>
      <c r="O4" s="1">
        <f t="shared" si="5"/>
        <v>-5.8927519151440379E-2</v>
      </c>
      <c r="P4" s="1">
        <v>182.3</v>
      </c>
      <c r="Q4" s="1">
        <f t="shared" si="6"/>
        <v>-7.5150850246845948</v>
      </c>
      <c r="R4" s="1">
        <v>164.3</v>
      </c>
      <c r="S4" s="1">
        <f t="shared" si="7"/>
        <v>6.0864272671938113E-2</v>
      </c>
      <c r="T4" s="1">
        <v>119.9</v>
      </c>
      <c r="U4" s="1">
        <f t="shared" si="8"/>
        <v>-0.5838198498748981</v>
      </c>
      <c r="V4" s="1">
        <v>187.1</v>
      </c>
      <c r="W4" s="1">
        <f t="shared" si="9"/>
        <v>2.5120256547300999</v>
      </c>
      <c r="X4" s="1">
        <v>167.9</v>
      </c>
      <c r="Y4" s="1">
        <f t="shared" si="10"/>
        <v>3.9309112567004134</v>
      </c>
      <c r="Z4" s="1">
        <v>183.9</v>
      </c>
      <c r="AA4" s="1">
        <f t="shared" si="11"/>
        <v>-0.4350190320826598</v>
      </c>
      <c r="AB4" s="1">
        <f t="shared" si="12"/>
        <v>-2.88196261933401</v>
      </c>
    </row>
    <row r="5" spans="1:28" x14ac:dyDescent="0.55000000000000004">
      <c r="A5" s="2" t="s">
        <v>30</v>
      </c>
      <c r="B5" s="1">
        <v>2022</v>
      </c>
      <c r="C5" s="1" t="s">
        <v>40</v>
      </c>
      <c r="D5" s="1">
        <v>155.19999999999999</v>
      </c>
      <c r="E5" s="25">
        <f t="shared" si="0"/>
        <v>2.6417525773196004</v>
      </c>
      <c r="F5" s="1">
        <v>210.8</v>
      </c>
      <c r="G5" s="1">
        <f t="shared" si="1"/>
        <v>2.988614800759005</v>
      </c>
      <c r="H5" s="1">
        <v>174.3</v>
      </c>
      <c r="I5" s="1">
        <f t="shared" si="2"/>
        <v>1.3195639701663699</v>
      </c>
      <c r="J5" s="1">
        <v>166.3</v>
      </c>
      <c r="K5" s="1">
        <f t="shared" si="3"/>
        <v>0.48105832832229883</v>
      </c>
      <c r="L5" s="1">
        <v>202.2</v>
      </c>
      <c r="M5" s="1">
        <f t="shared" si="4"/>
        <v>-8.6053412462907914</v>
      </c>
      <c r="N5" s="1">
        <v>169.6</v>
      </c>
      <c r="O5" s="1">
        <f t="shared" si="5"/>
        <v>5.8372641509433993</v>
      </c>
      <c r="P5" s="1">
        <v>168.6</v>
      </c>
      <c r="Q5" s="1">
        <f t="shared" si="6"/>
        <v>23.665480427046269</v>
      </c>
      <c r="R5" s="1">
        <v>164.4</v>
      </c>
      <c r="S5" s="1">
        <f t="shared" si="7"/>
        <v>-0.24330900243309347</v>
      </c>
      <c r="T5" s="1">
        <v>119.2</v>
      </c>
      <c r="U5" s="1">
        <f t="shared" si="8"/>
        <v>1.9295302013422795</v>
      </c>
      <c r="V5" s="1">
        <v>191.8</v>
      </c>
      <c r="W5" s="1">
        <f t="shared" si="9"/>
        <v>-2.8675703858185608</v>
      </c>
      <c r="X5" s="1">
        <v>174.5</v>
      </c>
      <c r="Y5" s="1">
        <f t="shared" si="10"/>
        <v>-8.4240687679083024</v>
      </c>
      <c r="Z5" s="1">
        <v>183.1</v>
      </c>
      <c r="AA5" s="1">
        <f t="shared" si="11"/>
        <v>2.5122883670125584</v>
      </c>
      <c r="AB5" s="1">
        <f t="shared" si="12"/>
        <v>21.235263420461031</v>
      </c>
    </row>
    <row r="6" spans="1:28" x14ac:dyDescent="0.55000000000000004">
      <c r="A6" s="2" t="s">
        <v>33</v>
      </c>
      <c r="B6" s="1">
        <v>2022</v>
      </c>
      <c r="C6" s="1" t="s">
        <v>40</v>
      </c>
      <c r="D6" s="1">
        <v>159.30000000000001</v>
      </c>
      <c r="E6" s="25">
        <f t="shared" si="0"/>
        <v>-1.7576898932831209</v>
      </c>
      <c r="F6" s="1">
        <v>217.1</v>
      </c>
      <c r="G6" s="1">
        <f t="shared" si="1"/>
        <v>-1.8885306310455987</v>
      </c>
      <c r="H6" s="1">
        <v>176.6</v>
      </c>
      <c r="I6" s="1">
        <f t="shared" si="2"/>
        <v>-0.79275198187995788</v>
      </c>
      <c r="J6" s="1">
        <v>167.1</v>
      </c>
      <c r="K6" s="1">
        <f t="shared" si="3"/>
        <v>-0.29922202274087373</v>
      </c>
      <c r="L6" s="1">
        <v>184.8</v>
      </c>
      <c r="M6" s="1">
        <f t="shared" si="4"/>
        <v>5.9523809523809517</v>
      </c>
      <c r="N6" s="1">
        <v>179.5</v>
      </c>
      <c r="O6" s="1">
        <f t="shared" si="5"/>
        <v>-2.952646239554324</v>
      </c>
      <c r="P6" s="1">
        <v>208.5</v>
      </c>
      <c r="Q6" s="1">
        <f t="shared" si="6"/>
        <v>-12.661870503597125</v>
      </c>
      <c r="R6" s="1">
        <v>164</v>
      </c>
      <c r="S6" s="1">
        <f t="shared" si="7"/>
        <v>0.18292682926829962</v>
      </c>
      <c r="T6" s="1">
        <v>121.5</v>
      </c>
      <c r="U6" s="1">
        <f t="shared" si="8"/>
        <v>-1.2345679012345678</v>
      </c>
      <c r="V6" s="1">
        <v>186.3</v>
      </c>
      <c r="W6" s="1">
        <f t="shared" si="9"/>
        <v>1.986044015029516</v>
      </c>
      <c r="X6" s="1">
        <v>159.80000000000001</v>
      </c>
      <c r="Y6" s="1">
        <f t="shared" si="10"/>
        <v>5.3817271589486824</v>
      </c>
      <c r="Z6" s="1">
        <v>187.7</v>
      </c>
      <c r="AA6" s="1">
        <f t="shared" si="11"/>
        <v>-1.3319126265316996</v>
      </c>
      <c r="AB6" s="1">
        <f t="shared" si="12"/>
        <v>-9.4161128442398194</v>
      </c>
    </row>
    <row r="7" spans="1:28" x14ac:dyDescent="0.55000000000000004">
      <c r="A7" s="2" t="s">
        <v>34</v>
      </c>
      <c r="B7" s="1">
        <v>2022</v>
      </c>
      <c r="C7" s="1" t="s">
        <v>40</v>
      </c>
      <c r="D7" s="1">
        <v>156.5</v>
      </c>
      <c r="E7" s="25">
        <f t="shared" si="0"/>
        <v>1.9169329073482455</v>
      </c>
      <c r="F7" s="1">
        <v>213</v>
      </c>
      <c r="G7" s="1">
        <f t="shared" si="1"/>
        <v>-4.1784037558685476</v>
      </c>
      <c r="H7" s="1">
        <v>175.2</v>
      </c>
      <c r="I7" s="1">
        <f t="shared" si="2"/>
        <v>-3.9383561643835492</v>
      </c>
      <c r="J7" s="1">
        <v>166.6</v>
      </c>
      <c r="K7" s="1">
        <f t="shared" si="3"/>
        <v>0.78031212484994683</v>
      </c>
      <c r="L7" s="1">
        <v>195.8</v>
      </c>
      <c r="M7" s="1">
        <f t="shared" si="4"/>
        <v>1.1746680286006042</v>
      </c>
      <c r="N7" s="1">
        <v>174.2</v>
      </c>
      <c r="O7" s="1">
        <f t="shared" si="5"/>
        <v>-2.8702640642939152</v>
      </c>
      <c r="P7" s="1">
        <v>182.1</v>
      </c>
      <c r="Q7" s="1">
        <f t="shared" si="6"/>
        <v>-4.9423393739703458</v>
      </c>
      <c r="R7" s="1">
        <v>164.3</v>
      </c>
      <c r="S7" s="1">
        <f t="shared" si="7"/>
        <v>1.7041996348143535</v>
      </c>
      <c r="T7" s="1">
        <v>120</v>
      </c>
      <c r="U7" s="1">
        <f t="shared" si="8"/>
        <v>0.16666666666666904</v>
      </c>
      <c r="V7" s="1">
        <v>190</v>
      </c>
      <c r="W7" s="1">
        <f t="shared" si="9"/>
        <v>2.9473684210526288</v>
      </c>
      <c r="X7" s="1">
        <v>168.4</v>
      </c>
      <c r="Y7" s="1">
        <f t="shared" si="10"/>
        <v>3.8004750593824257</v>
      </c>
      <c r="Z7" s="1">
        <v>185.2</v>
      </c>
      <c r="AA7" s="1">
        <f t="shared" si="11"/>
        <v>-0.64794816414686218</v>
      </c>
      <c r="AB7" s="1">
        <f t="shared" si="12"/>
        <v>-4.0866886799483471</v>
      </c>
    </row>
    <row r="8" spans="1:28" x14ac:dyDescent="0.55000000000000004">
      <c r="A8" s="2" t="s">
        <v>30</v>
      </c>
      <c r="B8" s="1">
        <v>2022</v>
      </c>
      <c r="C8" s="1" t="s">
        <v>41</v>
      </c>
      <c r="D8" s="1">
        <v>159.5</v>
      </c>
      <c r="E8" s="25">
        <f t="shared" si="0"/>
        <v>1.6300940438871425</v>
      </c>
      <c r="F8" s="1">
        <v>204.1</v>
      </c>
      <c r="G8" s="1">
        <f t="shared" si="1"/>
        <v>3.3317001469867771</v>
      </c>
      <c r="H8" s="1">
        <v>168.3</v>
      </c>
      <c r="I8" s="1">
        <f t="shared" si="2"/>
        <v>1.3666072489601799</v>
      </c>
      <c r="J8" s="1">
        <v>167.9</v>
      </c>
      <c r="K8" s="1">
        <f t="shared" si="3"/>
        <v>0.29779630732578916</v>
      </c>
      <c r="L8" s="1">
        <v>198.1</v>
      </c>
      <c r="M8" s="1">
        <f t="shared" si="4"/>
        <v>-7.8748107016658233</v>
      </c>
      <c r="N8" s="1">
        <v>169.2</v>
      </c>
      <c r="O8" s="1">
        <f t="shared" si="5"/>
        <v>4.6690307328605236</v>
      </c>
      <c r="P8" s="1">
        <v>173.1</v>
      </c>
      <c r="Q8" s="1">
        <f t="shared" si="6"/>
        <v>23.108030040439054</v>
      </c>
      <c r="R8" s="1">
        <v>167.1</v>
      </c>
      <c r="S8" s="1">
        <f t="shared" si="7"/>
        <v>0.11968880909635969</v>
      </c>
      <c r="T8" s="1">
        <v>120.2</v>
      </c>
      <c r="U8" s="1">
        <f t="shared" si="8"/>
        <v>1.6638935108153079</v>
      </c>
      <c r="V8" s="1">
        <v>195.6</v>
      </c>
      <c r="W8" s="1">
        <f t="shared" si="9"/>
        <v>-3.0163599182004122</v>
      </c>
      <c r="X8" s="1">
        <v>174.8</v>
      </c>
      <c r="Y8" s="1">
        <f t="shared" si="10"/>
        <v>-8.1807780320366188</v>
      </c>
      <c r="Z8" s="1">
        <v>184</v>
      </c>
      <c r="AA8" s="1">
        <f t="shared" si="11"/>
        <v>2.6630434782608727</v>
      </c>
      <c r="AB8" s="1">
        <f t="shared" si="12"/>
        <v>19.777935666729157</v>
      </c>
    </row>
    <row r="9" spans="1:28" x14ac:dyDescent="0.55000000000000004">
      <c r="A9" s="2" t="s">
        <v>33</v>
      </c>
      <c r="B9" s="1">
        <v>2022</v>
      </c>
      <c r="C9" s="1" t="s">
        <v>41</v>
      </c>
      <c r="D9" s="1">
        <v>162.1</v>
      </c>
      <c r="E9" s="25">
        <f t="shared" si="0"/>
        <v>-1.1104256631708664</v>
      </c>
      <c r="F9" s="1">
        <v>210.9</v>
      </c>
      <c r="G9" s="1">
        <f t="shared" si="1"/>
        <v>-2.0862968231389312</v>
      </c>
      <c r="H9" s="1">
        <v>170.6</v>
      </c>
      <c r="I9" s="1">
        <f t="shared" si="2"/>
        <v>-0.82063305978898338</v>
      </c>
      <c r="J9" s="1">
        <v>168.4</v>
      </c>
      <c r="K9" s="1">
        <f t="shared" si="3"/>
        <v>-0.1781472684085578</v>
      </c>
      <c r="L9" s="1">
        <v>182.5</v>
      </c>
      <c r="M9" s="1">
        <f t="shared" si="4"/>
        <v>5.4246575342465784</v>
      </c>
      <c r="N9" s="1">
        <v>177.1</v>
      </c>
      <c r="O9" s="1">
        <f t="shared" si="5"/>
        <v>-2.3715415019762784</v>
      </c>
      <c r="P9" s="1">
        <v>213.1</v>
      </c>
      <c r="Q9" s="1">
        <f t="shared" si="6"/>
        <v>-12.388549976536842</v>
      </c>
      <c r="R9" s="1">
        <v>167.3</v>
      </c>
      <c r="S9" s="1">
        <f t="shared" si="7"/>
        <v>-5.9772863120157047E-2</v>
      </c>
      <c r="T9" s="1">
        <v>122.2</v>
      </c>
      <c r="U9" s="1">
        <f t="shared" si="8"/>
        <v>-1.0638297872340403</v>
      </c>
      <c r="V9" s="1">
        <v>189.7</v>
      </c>
      <c r="W9" s="1">
        <f t="shared" si="9"/>
        <v>2.0558777016341625</v>
      </c>
      <c r="X9" s="1">
        <v>160.5</v>
      </c>
      <c r="Y9" s="1">
        <f t="shared" si="10"/>
        <v>5.1713395638629356</v>
      </c>
      <c r="Z9" s="1">
        <v>188.9</v>
      </c>
      <c r="AA9" s="1">
        <f t="shared" si="11"/>
        <v>-1.3763896241397535</v>
      </c>
      <c r="AB9" s="1">
        <f t="shared" si="12"/>
        <v>-8.8037117677707322</v>
      </c>
    </row>
    <row r="10" spans="1:28" x14ac:dyDescent="0.55000000000000004">
      <c r="A10" s="2" t="s">
        <v>34</v>
      </c>
      <c r="B10" s="1">
        <v>2022</v>
      </c>
      <c r="C10" s="1" t="s">
        <v>41</v>
      </c>
      <c r="D10" s="1">
        <v>160.30000000000001</v>
      </c>
      <c r="E10" s="25">
        <f t="shared" si="0"/>
        <v>1.6219588271989993</v>
      </c>
      <c r="F10" s="1">
        <v>206.5</v>
      </c>
      <c r="G10" s="1">
        <f t="shared" si="1"/>
        <v>9.6852300242125253E-2</v>
      </c>
      <c r="H10" s="1">
        <v>169.2</v>
      </c>
      <c r="I10" s="1">
        <f t="shared" si="2"/>
        <v>-0.11820330969266468</v>
      </c>
      <c r="J10" s="1">
        <v>168.1</v>
      </c>
      <c r="K10" s="1">
        <f t="shared" si="3"/>
        <v>0.83283759666865298</v>
      </c>
      <c r="L10" s="1">
        <v>192.4</v>
      </c>
      <c r="M10" s="1">
        <f t="shared" si="4"/>
        <v>0.88357588357587757</v>
      </c>
      <c r="N10" s="1">
        <v>172.9</v>
      </c>
      <c r="O10" s="1">
        <f t="shared" si="5"/>
        <v>-5.0896471949103592</v>
      </c>
      <c r="P10" s="1">
        <v>186.7</v>
      </c>
      <c r="Q10" s="1">
        <f t="shared" si="6"/>
        <v>-5.2490626673808158</v>
      </c>
      <c r="R10" s="1">
        <v>167.2</v>
      </c>
      <c r="S10" s="1">
        <f t="shared" si="7"/>
        <v>1.0765550239234518</v>
      </c>
      <c r="T10" s="1">
        <v>120.9</v>
      </c>
      <c r="U10" s="1">
        <f t="shared" si="8"/>
        <v>-8.2712985938799444E-2</v>
      </c>
      <c r="V10" s="1">
        <v>193.6</v>
      </c>
      <c r="W10" s="1">
        <f t="shared" si="9"/>
        <v>2.8409090909090908</v>
      </c>
      <c r="X10" s="1">
        <v>168.8</v>
      </c>
      <c r="Y10" s="1">
        <f t="shared" si="10"/>
        <v>3.9099526066350672</v>
      </c>
      <c r="Z10" s="1">
        <v>186.3</v>
      </c>
      <c r="AA10" s="1">
        <f t="shared" si="11"/>
        <v>-0.80515297906602246</v>
      </c>
      <c r="AB10" s="1">
        <f t="shared" si="12"/>
        <v>-8.2137807835397036E-2</v>
      </c>
    </row>
    <row r="11" spans="1:28" x14ac:dyDescent="0.55000000000000004">
      <c r="A11" s="2" t="s">
        <v>30</v>
      </c>
      <c r="B11" s="1">
        <v>2022</v>
      </c>
      <c r="C11" s="1" t="s">
        <v>42</v>
      </c>
      <c r="D11" s="1">
        <v>162.9</v>
      </c>
      <c r="E11" s="25">
        <f t="shared" si="0"/>
        <v>1.2277470841006721</v>
      </c>
      <c r="F11" s="1">
        <v>206.7</v>
      </c>
      <c r="G11" s="1">
        <f t="shared" si="1"/>
        <v>3.3865505563618776</v>
      </c>
      <c r="H11" s="1">
        <v>169</v>
      </c>
      <c r="I11" s="1">
        <f t="shared" si="2"/>
        <v>1.1242603550295891</v>
      </c>
      <c r="J11" s="1">
        <v>169.5</v>
      </c>
      <c r="K11" s="1">
        <f t="shared" si="3"/>
        <v>0.35398230088495236</v>
      </c>
      <c r="L11" s="1">
        <v>194.1</v>
      </c>
      <c r="M11" s="1">
        <f t="shared" si="4"/>
        <v>-7.6249356002060713</v>
      </c>
      <c r="N11" s="1">
        <v>164.1</v>
      </c>
      <c r="O11" s="1">
        <f t="shared" si="5"/>
        <v>2.0719073735527154</v>
      </c>
      <c r="P11" s="1">
        <v>176.9</v>
      </c>
      <c r="Q11" s="1">
        <f t="shared" si="6"/>
        <v>24.816280384397967</v>
      </c>
      <c r="R11" s="1">
        <v>169</v>
      </c>
      <c r="S11" s="1">
        <f t="shared" si="7"/>
        <v>0.11834319526626547</v>
      </c>
      <c r="T11" s="1">
        <v>120.8</v>
      </c>
      <c r="U11" s="1">
        <f t="shared" si="8"/>
        <v>1.9039735099337725</v>
      </c>
      <c r="V11" s="1">
        <v>199.1</v>
      </c>
      <c r="W11" s="1">
        <f t="shared" si="9"/>
        <v>-2.7624309392265194</v>
      </c>
      <c r="X11" s="1">
        <v>175.4</v>
      </c>
      <c r="Y11" s="1">
        <f t="shared" si="10"/>
        <v>-8.1527936145952182</v>
      </c>
      <c r="Z11" s="1">
        <v>184.8</v>
      </c>
      <c r="AA11" s="1">
        <f t="shared" si="11"/>
        <v>3.0303030303030272</v>
      </c>
      <c r="AB11" s="1">
        <f t="shared" si="12"/>
        <v>19.493187635803032</v>
      </c>
    </row>
    <row r="12" spans="1:28" x14ac:dyDescent="0.55000000000000004">
      <c r="A12" s="2" t="s">
        <v>33</v>
      </c>
      <c r="B12" s="1">
        <v>2022</v>
      </c>
      <c r="C12" s="1" t="s">
        <v>42</v>
      </c>
      <c r="D12" s="1">
        <v>164.9</v>
      </c>
      <c r="E12" s="25">
        <f t="shared" si="0"/>
        <v>-0.84899939357186982</v>
      </c>
      <c r="F12" s="1">
        <v>213.7</v>
      </c>
      <c r="G12" s="1">
        <f t="shared" si="1"/>
        <v>-2.1057557323350493</v>
      </c>
      <c r="H12" s="1">
        <v>170.9</v>
      </c>
      <c r="I12" s="1">
        <f t="shared" si="2"/>
        <v>-0.70216500877707255</v>
      </c>
      <c r="J12" s="1">
        <v>170.1</v>
      </c>
      <c r="K12" s="1">
        <f t="shared" si="3"/>
        <v>-0.23515579071134962</v>
      </c>
      <c r="L12" s="1">
        <v>179.3</v>
      </c>
      <c r="M12" s="1">
        <f t="shared" si="4"/>
        <v>5.2426101505855973</v>
      </c>
      <c r="N12" s="1">
        <v>167.5</v>
      </c>
      <c r="O12" s="1">
        <f t="shared" si="5"/>
        <v>-1.0746268656716484</v>
      </c>
      <c r="P12" s="1">
        <v>220.8</v>
      </c>
      <c r="Q12" s="1">
        <f t="shared" si="6"/>
        <v>-13.134057971014492</v>
      </c>
      <c r="R12" s="1">
        <v>169.2</v>
      </c>
      <c r="S12" s="1">
        <f t="shared" si="7"/>
        <v>-5.9101654846332341E-2</v>
      </c>
      <c r="T12" s="1">
        <v>123.1</v>
      </c>
      <c r="U12" s="1">
        <f t="shared" si="8"/>
        <v>-1.2185215272136476</v>
      </c>
      <c r="V12" s="1">
        <v>193.6</v>
      </c>
      <c r="W12" s="1">
        <f t="shared" si="9"/>
        <v>1.9111570247933973</v>
      </c>
      <c r="X12" s="1">
        <v>161.1</v>
      </c>
      <c r="Y12" s="1">
        <f t="shared" si="10"/>
        <v>5.1520794537554382</v>
      </c>
      <c r="Z12" s="1">
        <v>190.4</v>
      </c>
      <c r="AA12" s="1">
        <f t="shared" si="11"/>
        <v>-1.5756302521008403</v>
      </c>
      <c r="AB12" s="1">
        <f t="shared" si="12"/>
        <v>-8.648167567107869</v>
      </c>
    </row>
    <row r="13" spans="1:28" x14ac:dyDescent="0.55000000000000004">
      <c r="A13" s="2" t="s">
        <v>34</v>
      </c>
      <c r="B13" s="1">
        <v>2022</v>
      </c>
      <c r="C13" s="1" t="s">
        <v>42</v>
      </c>
      <c r="D13" s="1">
        <v>163.5</v>
      </c>
      <c r="E13" s="25">
        <f t="shared" si="0"/>
        <v>0.73394495412844041</v>
      </c>
      <c r="F13" s="1">
        <v>209.2</v>
      </c>
      <c r="G13" s="1">
        <f t="shared" si="1"/>
        <v>-0.19120458891012296</v>
      </c>
      <c r="H13" s="1">
        <v>169.7</v>
      </c>
      <c r="I13" s="1">
        <f t="shared" si="2"/>
        <v>0.35356511490867576</v>
      </c>
      <c r="J13" s="1">
        <v>169.7</v>
      </c>
      <c r="K13" s="1">
        <f t="shared" si="3"/>
        <v>0.70713022981733475</v>
      </c>
      <c r="L13" s="1">
        <v>188.7</v>
      </c>
      <c r="M13" s="1">
        <f t="shared" si="4"/>
        <v>1.5368309485956577</v>
      </c>
      <c r="N13" s="1">
        <v>165.7</v>
      </c>
      <c r="O13" s="1">
        <f t="shared" si="5"/>
        <v>-2.1122510561255283</v>
      </c>
      <c r="P13" s="1">
        <v>191.8</v>
      </c>
      <c r="Q13" s="1">
        <f t="shared" si="6"/>
        <v>-3.6496350364963499</v>
      </c>
      <c r="R13" s="1">
        <v>169.1</v>
      </c>
      <c r="S13" s="1">
        <f t="shared" si="7"/>
        <v>0.35481963335304223</v>
      </c>
      <c r="T13" s="1">
        <v>121.6</v>
      </c>
      <c r="U13" s="1">
        <f t="shared" si="8"/>
        <v>-0.41118421052631582</v>
      </c>
      <c r="V13" s="1">
        <v>197.3</v>
      </c>
      <c r="W13" s="1">
        <f t="shared" si="9"/>
        <v>2.1794221996958858</v>
      </c>
      <c r="X13" s="1">
        <v>169.4</v>
      </c>
      <c r="Y13" s="1">
        <f t="shared" si="10"/>
        <v>3.7780401416765086</v>
      </c>
      <c r="Z13" s="1">
        <v>187.4</v>
      </c>
      <c r="AA13" s="1">
        <f t="shared" si="11"/>
        <v>-0.96051227321238597</v>
      </c>
      <c r="AB13" s="1">
        <f t="shared" si="12"/>
        <v>2.3189660569048423</v>
      </c>
    </row>
    <row r="14" spans="1:28" x14ac:dyDescent="0.55000000000000004">
      <c r="A14" s="2" t="s">
        <v>30</v>
      </c>
      <c r="B14" s="1">
        <v>2022</v>
      </c>
      <c r="C14" s="1" t="s">
        <v>43</v>
      </c>
      <c r="D14" s="1">
        <v>164.7</v>
      </c>
      <c r="E14" s="25">
        <f t="shared" si="0"/>
        <v>1.0321797207043293</v>
      </c>
      <c r="F14" s="1">
        <v>208.8</v>
      </c>
      <c r="G14" s="1">
        <f t="shared" si="1"/>
        <v>2.9214559386973153</v>
      </c>
      <c r="H14" s="1">
        <v>170.3</v>
      </c>
      <c r="I14" s="1">
        <f t="shared" si="2"/>
        <v>0.93951849677040178</v>
      </c>
      <c r="J14" s="1">
        <v>170.9</v>
      </c>
      <c r="K14" s="1">
        <f t="shared" si="3"/>
        <v>5.8513750731418554E-2</v>
      </c>
      <c r="L14" s="1">
        <v>191.6</v>
      </c>
      <c r="M14" s="1">
        <f t="shared" si="4"/>
        <v>-7.2546972860125294</v>
      </c>
      <c r="N14" s="1">
        <v>162.19999999999999</v>
      </c>
      <c r="O14" s="1">
        <f t="shared" si="5"/>
        <v>2.1578298397040694</v>
      </c>
      <c r="P14" s="1">
        <v>184.8</v>
      </c>
      <c r="Q14" s="1">
        <f t="shared" si="6"/>
        <v>23.70129870129869</v>
      </c>
      <c r="R14" s="1">
        <v>169.7</v>
      </c>
      <c r="S14" s="1">
        <f t="shared" si="7"/>
        <v>0.11785503830289751</v>
      </c>
      <c r="T14" s="1">
        <v>121.1</v>
      </c>
      <c r="U14" s="1">
        <f t="shared" si="8"/>
        <v>1.8992568125516198</v>
      </c>
      <c r="V14" s="1">
        <v>201.6</v>
      </c>
      <c r="W14" s="1">
        <f t="shared" si="9"/>
        <v>-2.5793650793650738</v>
      </c>
      <c r="X14" s="1">
        <v>175.8</v>
      </c>
      <c r="Y14" s="1">
        <f t="shared" si="10"/>
        <v>-8.0773606370876099</v>
      </c>
      <c r="Z14" s="1">
        <v>185.6</v>
      </c>
      <c r="AA14" s="1">
        <f t="shared" si="11"/>
        <v>3.178879310344831</v>
      </c>
      <c r="AB14" s="1">
        <f t="shared" si="12"/>
        <v>18.095364606640363</v>
      </c>
    </row>
    <row r="15" spans="1:28" x14ac:dyDescent="0.55000000000000004">
      <c r="A15" s="2" t="s">
        <v>33</v>
      </c>
      <c r="B15" s="1">
        <v>2022</v>
      </c>
      <c r="C15" s="1" t="s">
        <v>43</v>
      </c>
      <c r="D15" s="1">
        <v>166.4</v>
      </c>
      <c r="E15" s="25">
        <f t="shared" si="0"/>
        <v>-0.72115384615385469</v>
      </c>
      <c r="F15" s="1">
        <v>214.9</v>
      </c>
      <c r="G15" s="1">
        <f t="shared" si="1"/>
        <v>-1.8613308515588645</v>
      </c>
      <c r="H15" s="1">
        <v>171.9</v>
      </c>
      <c r="I15" s="1">
        <f t="shared" si="2"/>
        <v>-0.58173356602675974</v>
      </c>
      <c r="J15" s="1">
        <v>171</v>
      </c>
      <c r="K15" s="1">
        <f t="shared" si="3"/>
        <v>-0.76023391812866159</v>
      </c>
      <c r="L15" s="1">
        <v>177.7</v>
      </c>
      <c r="M15" s="1">
        <f t="shared" si="4"/>
        <v>4.9521665728756394</v>
      </c>
      <c r="N15" s="1">
        <v>165.7</v>
      </c>
      <c r="O15" s="1">
        <f t="shared" si="5"/>
        <v>-1.146650573325273</v>
      </c>
      <c r="P15" s="1">
        <v>228.6</v>
      </c>
      <c r="Q15" s="1">
        <f t="shared" si="6"/>
        <v>-12.642169728783903</v>
      </c>
      <c r="R15" s="1">
        <v>169.9</v>
      </c>
      <c r="S15" s="1">
        <f t="shared" si="7"/>
        <v>-5.8858151854028436E-2</v>
      </c>
      <c r="T15" s="1">
        <v>123.4</v>
      </c>
      <c r="U15" s="1">
        <f t="shared" si="8"/>
        <v>-1.2155591572123177</v>
      </c>
      <c r="V15" s="1">
        <v>196.4</v>
      </c>
      <c r="W15" s="1">
        <f t="shared" si="9"/>
        <v>1.7820773930753564</v>
      </c>
      <c r="X15" s="1">
        <v>161.6</v>
      </c>
      <c r="Y15" s="1">
        <f t="shared" si="10"/>
        <v>5.1361386138613936</v>
      </c>
      <c r="Z15" s="1">
        <v>191.5</v>
      </c>
      <c r="AA15" s="1">
        <f t="shared" si="11"/>
        <v>-1.6710182767623962</v>
      </c>
      <c r="AB15" s="1">
        <f t="shared" si="12"/>
        <v>-8.7883254899936709</v>
      </c>
    </row>
    <row r="16" spans="1:28" x14ac:dyDescent="0.55000000000000004">
      <c r="A16" s="2" t="s">
        <v>34</v>
      </c>
      <c r="B16" s="1">
        <v>2022</v>
      </c>
      <c r="C16" s="1" t="s">
        <v>43</v>
      </c>
      <c r="D16" s="1">
        <v>165.2</v>
      </c>
      <c r="E16" s="25">
        <f t="shared" si="0"/>
        <v>1.0290556900726555</v>
      </c>
      <c r="F16" s="1">
        <v>210.9</v>
      </c>
      <c r="G16" s="1">
        <f t="shared" si="1"/>
        <v>-1.7543859649122888</v>
      </c>
      <c r="H16" s="1">
        <v>170.9</v>
      </c>
      <c r="I16" s="1">
        <f t="shared" si="2"/>
        <v>5.4417788180222253</v>
      </c>
      <c r="J16" s="1">
        <v>169.7</v>
      </c>
      <c r="K16" s="1">
        <f t="shared" si="3"/>
        <v>0.70713022981733475</v>
      </c>
      <c r="L16" s="1">
        <v>186.5</v>
      </c>
      <c r="M16" s="1">
        <f t="shared" si="4"/>
        <v>4.0214477211796247</v>
      </c>
      <c r="N16" s="1">
        <v>163.80000000000001</v>
      </c>
      <c r="O16" s="1">
        <f t="shared" si="5"/>
        <v>-2.8693528693528796</v>
      </c>
      <c r="P16" s="1">
        <v>199.7</v>
      </c>
      <c r="Q16" s="1">
        <f t="shared" si="6"/>
        <v>-14.071106659989983</v>
      </c>
      <c r="R16" s="1">
        <v>169.8</v>
      </c>
      <c r="S16" s="1">
        <f t="shared" si="7"/>
        <v>0.23557126030622921</v>
      </c>
      <c r="T16" s="1">
        <v>121.9</v>
      </c>
      <c r="U16" s="1">
        <f t="shared" si="8"/>
        <v>-0.3281378178835157</v>
      </c>
      <c r="V16" s="1">
        <v>199.9</v>
      </c>
      <c r="W16" s="1">
        <f t="shared" si="9"/>
        <v>2.4512256128064061</v>
      </c>
      <c r="X16" s="1">
        <v>169.9</v>
      </c>
      <c r="Y16" s="1">
        <f t="shared" si="10"/>
        <v>3.8257798705120658</v>
      </c>
      <c r="Z16" s="1">
        <v>188.3</v>
      </c>
      <c r="AA16" s="1">
        <f t="shared" si="11"/>
        <v>-0.74349442379182462</v>
      </c>
      <c r="AB16" s="1">
        <f t="shared" si="12"/>
        <v>-2.0544885332139513</v>
      </c>
    </row>
    <row r="17" spans="1:28" x14ac:dyDescent="0.55000000000000004">
      <c r="A17" s="2" t="s">
        <v>30</v>
      </c>
      <c r="B17" s="1">
        <v>2022</v>
      </c>
      <c r="C17" s="1" t="s">
        <v>45</v>
      </c>
      <c r="D17" s="1">
        <v>166.9</v>
      </c>
      <c r="E17" s="25">
        <f t="shared" si="0"/>
        <v>0.89874176153386109</v>
      </c>
      <c r="F17" s="1">
        <v>207.2</v>
      </c>
      <c r="G17" s="1">
        <f t="shared" si="1"/>
        <v>2.9922779922780003</v>
      </c>
      <c r="H17" s="1">
        <v>180.2</v>
      </c>
      <c r="I17" s="1">
        <f t="shared" si="2"/>
        <v>1.6648168701442843</v>
      </c>
      <c r="J17" s="1">
        <v>170.9</v>
      </c>
      <c r="K17" s="1">
        <f>(J17/J16-1)*100</f>
        <v>0.70713022981734319</v>
      </c>
      <c r="L17" s="1">
        <v>194</v>
      </c>
      <c r="M17" s="1">
        <f t="shared" si="4"/>
        <v>-7.2164948453608249</v>
      </c>
      <c r="N17" s="1">
        <v>159.1</v>
      </c>
      <c r="O17" s="1">
        <f t="shared" si="5"/>
        <v>2.1998742928975488</v>
      </c>
      <c r="P17" s="1">
        <v>171.6</v>
      </c>
      <c r="Q17" s="1">
        <f t="shared" si="6"/>
        <v>19.75524475524476</v>
      </c>
      <c r="R17" s="1">
        <v>170.2</v>
      </c>
      <c r="S17" s="1">
        <f t="shared" si="7"/>
        <v>0.47003525264395501</v>
      </c>
      <c r="T17" s="1">
        <v>121.5</v>
      </c>
      <c r="U17" s="1">
        <f t="shared" si="8"/>
        <v>1.5637860082304573</v>
      </c>
      <c r="V17" s="1">
        <v>204.8</v>
      </c>
      <c r="W17" s="1">
        <f t="shared" si="9"/>
        <v>-2.9296875</v>
      </c>
      <c r="X17" s="1">
        <v>176.4</v>
      </c>
      <c r="Y17" s="1">
        <f t="shared" si="10"/>
        <v>-8.1065759637188268</v>
      </c>
      <c r="Z17" s="1">
        <v>186.9</v>
      </c>
      <c r="AA17" s="1">
        <f t="shared" si="11"/>
        <v>2.9427501337613697</v>
      </c>
      <c r="AB17" s="1">
        <f t="shared" si="12"/>
        <v>14.94189898747193</v>
      </c>
    </row>
    <row r="18" spans="1:28" x14ac:dyDescent="0.55000000000000004">
      <c r="A18" s="2" t="s">
        <v>33</v>
      </c>
      <c r="B18" s="1">
        <v>2022</v>
      </c>
      <c r="C18" s="1" t="s">
        <v>45</v>
      </c>
      <c r="D18" s="1">
        <v>168.4</v>
      </c>
      <c r="E18" s="25">
        <f t="shared" si="0"/>
        <v>-0.59382422802850554</v>
      </c>
      <c r="F18" s="1">
        <v>213.4</v>
      </c>
      <c r="G18" s="1">
        <f t="shared" si="1"/>
        <v>-1.8744142455482662</v>
      </c>
      <c r="H18" s="1">
        <v>183.2</v>
      </c>
      <c r="I18" s="1">
        <f t="shared" si="2"/>
        <v>-0.9825327510916938</v>
      </c>
      <c r="J18" s="1">
        <v>171</v>
      </c>
      <c r="K18" s="1">
        <f t="shared" si="3"/>
        <v>0.76023391812866159</v>
      </c>
      <c r="L18" s="1">
        <v>180</v>
      </c>
      <c r="M18" s="1">
        <f t="shared" si="4"/>
        <v>4.9444444444444473</v>
      </c>
      <c r="N18" s="1">
        <v>162.6</v>
      </c>
      <c r="O18" s="1">
        <f t="shared" si="5"/>
        <v>-1.1685116851168547</v>
      </c>
      <c r="P18" s="1">
        <v>205.5</v>
      </c>
      <c r="Q18" s="1">
        <f t="shared" si="6"/>
        <v>-10.900243309002436</v>
      </c>
      <c r="R18" s="1">
        <v>171</v>
      </c>
      <c r="S18" s="1">
        <f t="shared" si="7"/>
        <v>-0.70175438596490569</v>
      </c>
      <c r="T18" s="1">
        <v>123.4</v>
      </c>
      <c r="U18" s="1">
        <f t="shared" si="8"/>
        <v>-1.0534846029173512</v>
      </c>
      <c r="V18" s="1">
        <v>198.8</v>
      </c>
      <c r="W18" s="1">
        <f t="shared" si="9"/>
        <v>2.0120724346076457</v>
      </c>
      <c r="X18" s="1">
        <v>162.1</v>
      </c>
      <c r="Y18" s="1">
        <f t="shared" si="10"/>
        <v>5.1202961135101859</v>
      </c>
      <c r="Z18" s="1">
        <v>192.4</v>
      </c>
      <c r="AA18" s="1">
        <f t="shared" si="11"/>
        <v>-1.5072765072765102</v>
      </c>
      <c r="AB18" s="1">
        <f t="shared" si="12"/>
        <v>-5.9449948042555825</v>
      </c>
    </row>
    <row r="19" spans="1:28" x14ac:dyDescent="0.55000000000000004">
      <c r="A19" s="2" t="s">
        <v>34</v>
      </c>
      <c r="B19" s="1">
        <v>2022</v>
      </c>
      <c r="C19" s="1" t="s">
        <v>45</v>
      </c>
      <c r="D19" s="1">
        <v>167.4</v>
      </c>
      <c r="E19" s="25">
        <f t="shared" si="0"/>
        <v>0.83632019115891243</v>
      </c>
      <c r="F19" s="1">
        <v>209.4</v>
      </c>
      <c r="G19" s="1">
        <f t="shared" si="1"/>
        <v>-1.1938872970391596</v>
      </c>
      <c r="H19" s="1">
        <v>181.4</v>
      </c>
      <c r="I19" s="1">
        <f t="shared" si="2"/>
        <v>4.2447629547960242</v>
      </c>
      <c r="J19" s="1">
        <v>172.3</v>
      </c>
      <c r="K19" s="1">
        <f t="shared" si="3"/>
        <v>0.63842135809634026</v>
      </c>
      <c r="L19" s="1">
        <v>188.9</v>
      </c>
      <c r="M19" s="1">
        <f t="shared" si="4"/>
        <v>2.6469031233456857</v>
      </c>
      <c r="N19" s="1">
        <v>160.69999999999999</v>
      </c>
      <c r="O19" s="1">
        <f t="shared" si="5"/>
        <v>-2.4891101431238334</v>
      </c>
      <c r="P19" s="1">
        <v>183.1</v>
      </c>
      <c r="Q19" s="1">
        <f t="shared" si="6"/>
        <v>-17.968323320589846</v>
      </c>
      <c r="R19" s="1">
        <v>169.8</v>
      </c>
      <c r="S19" s="1">
        <f t="shared" si="7"/>
        <v>0.41224970553591789</v>
      </c>
      <c r="T19" s="1">
        <v>122.1</v>
      </c>
      <c r="U19" s="1">
        <f t="shared" si="8"/>
        <v>-0.73710073710073021</v>
      </c>
      <c r="V19" s="1">
        <v>202.8</v>
      </c>
      <c r="W19" s="1">
        <f t="shared" si="9"/>
        <v>2.317554240631158</v>
      </c>
      <c r="X19" s="1">
        <v>170.4</v>
      </c>
      <c r="Y19" s="1">
        <f t="shared" si="10"/>
        <v>3.7558685446009425</v>
      </c>
      <c r="Z19" s="1">
        <v>189.5</v>
      </c>
      <c r="AA19" s="1">
        <f t="shared" si="11"/>
        <v>-0.94986807387863392</v>
      </c>
      <c r="AB19" s="1">
        <f t="shared" si="12"/>
        <v>-8.4862094535672217</v>
      </c>
    </row>
    <row r="20" spans="1:28" x14ac:dyDescent="0.55000000000000004">
      <c r="A20" s="2" t="s">
        <v>30</v>
      </c>
      <c r="B20" s="1">
        <v>2022</v>
      </c>
      <c r="C20" s="1" t="s">
        <v>46</v>
      </c>
      <c r="D20" s="1">
        <v>168.8</v>
      </c>
      <c r="E20" s="25">
        <f t="shared" si="0"/>
        <v>0.82938388625590775</v>
      </c>
      <c r="F20" s="1">
        <v>206.9</v>
      </c>
      <c r="G20" s="1">
        <f t="shared" si="1"/>
        <v>2.8999516674722088</v>
      </c>
      <c r="H20" s="1">
        <v>189.1</v>
      </c>
      <c r="I20" s="1">
        <f t="shared" si="2"/>
        <v>1.4806980433633059</v>
      </c>
      <c r="J20" s="1">
        <v>173.4</v>
      </c>
      <c r="K20" s="1">
        <f t="shared" si="3"/>
        <v>0.28835063437139563</v>
      </c>
      <c r="L20" s="1">
        <v>193.9</v>
      </c>
      <c r="M20" s="1">
        <f t="shared" si="4"/>
        <v>-7.632800412583812</v>
      </c>
      <c r="N20" s="1">
        <v>156.69999999999999</v>
      </c>
      <c r="O20" s="1">
        <f t="shared" si="5"/>
        <v>1.786853860880671</v>
      </c>
      <c r="P20" s="1">
        <v>150.19999999999999</v>
      </c>
      <c r="Q20" s="1">
        <f t="shared" si="6"/>
        <v>18.97470039946738</v>
      </c>
      <c r="R20" s="1">
        <v>170.5</v>
      </c>
      <c r="S20" s="1">
        <f t="shared" si="7"/>
        <v>0.46920821114370165</v>
      </c>
      <c r="T20" s="1">
        <v>121.2</v>
      </c>
      <c r="U20" s="1">
        <f t="shared" si="8"/>
        <v>1.5676567656765608</v>
      </c>
      <c r="V20" s="1">
        <v>207.5</v>
      </c>
      <c r="W20" s="1">
        <f t="shared" si="9"/>
        <v>-3.3734939759036142</v>
      </c>
      <c r="X20" s="1">
        <v>176.8</v>
      </c>
      <c r="Y20" s="1">
        <f t="shared" si="10"/>
        <v>-7.9185520361990953</v>
      </c>
      <c r="Z20" s="1">
        <v>187.7</v>
      </c>
      <c r="AA20" s="1">
        <f t="shared" si="11"/>
        <v>2.9834842834310193</v>
      </c>
      <c r="AB20" s="1">
        <f t="shared" si="12"/>
        <v>12.355441327375631</v>
      </c>
    </row>
    <row r="21" spans="1:28" x14ac:dyDescent="0.55000000000000004">
      <c r="A21" s="2" t="s">
        <v>33</v>
      </c>
      <c r="B21" s="1">
        <v>2022</v>
      </c>
      <c r="C21" s="1" t="s">
        <v>46</v>
      </c>
      <c r="D21" s="1">
        <v>170.2</v>
      </c>
      <c r="E21" s="25">
        <f t="shared" si="0"/>
        <v>-0.58754406580493468</v>
      </c>
      <c r="F21" s="1">
        <v>212.9</v>
      </c>
      <c r="G21" s="1">
        <f t="shared" si="1"/>
        <v>-1.8318459370596551</v>
      </c>
      <c r="H21" s="1">
        <v>191.9</v>
      </c>
      <c r="I21" s="1">
        <f t="shared" si="2"/>
        <v>-0.88587806149036841</v>
      </c>
      <c r="J21" s="1">
        <v>173.9</v>
      </c>
      <c r="K21" s="1">
        <f t="shared" si="3"/>
        <v>-0.17251293847039181</v>
      </c>
      <c r="L21" s="1">
        <v>179.1</v>
      </c>
      <c r="M21" s="1">
        <f>(L22-L21)/L21%</f>
        <v>5.2484645449469607</v>
      </c>
      <c r="N21" s="1">
        <v>159.5</v>
      </c>
      <c r="O21" s="1">
        <f t="shared" si="5"/>
        <v>-0.94043887147335425</v>
      </c>
      <c r="P21" s="1">
        <v>178.7</v>
      </c>
      <c r="Q21" s="1">
        <f t="shared" si="6"/>
        <v>-10.520425293788463</v>
      </c>
      <c r="R21" s="1">
        <v>171.3</v>
      </c>
      <c r="S21" s="1">
        <f t="shared" si="7"/>
        <v>-0.29188558085230587</v>
      </c>
      <c r="T21" s="1">
        <v>123.1</v>
      </c>
      <c r="U21" s="1">
        <f t="shared" si="8"/>
        <v>-1.0560519902518255</v>
      </c>
      <c r="V21" s="1">
        <v>200.5</v>
      </c>
      <c r="W21" s="1">
        <f t="shared" si="9"/>
        <v>2.3441396508728123</v>
      </c>
      <c r="X21" s="1">
        <v>162.80000000000001</v>
      </c>
      <c r="Y21" s="1">
        <f t="shared" si="10"/>
        <v>5.0368550368550293</v>
      </c>
      <c r="Z21" s="1">
        <v>193.3</v>
      </c>
      <c r="AA21" s="1">
        <f t="shared" si="11"/>
        <v>-1.5519917227108122</v>
      </c>
      <c r="AB21" s="1">
        <f t="shared" si="12"/>
        <v>-5.2091152292273097</v>
      </c>
    </row>
    <row r="22" spans="1:28" x14ac:dyDescent="0.55000000000000004">
      <c r="A22" s="2" t="s">
        <v>34</v>
      </c>
      <c r="B22" s="1">
        <v>2022</v>
      </c>
      <c r="C22" s="1" t="s">
        <v>46</v>
      </c>
      <c r="D22" s="1">
        <v>169.2</v>
      </c>
      <c r="E22" s="25">
        <f t="shared" si="0"/>
        <v>2.8368794326241176</v>
      </c>
      <c r="F22" s="1">
        <v>209</v>
      </c>
      <c r="G22" s="1">
        <f t="shared" si="1"/>
        <v>-0.33492822966506636</v>
      </c>
      <c r="H22" s="1">
        <v>190.2</v>
      </c>
      <c r="I22" s="1">
        <f t="shared" si="2"/>
        <v>1.41955835962146</v>
      </c>
      <c r="J22" s="1">
        <v>173.6</v>
      </c>
      <c r="K22" s="1">
        <f t="shared" si="3"/>
        <v>0.4032258064516227</v>
      </c>
      <c r="L22" s="1">
        <v>188.5</v>
      </c>
      <c r="M22" s="1">
        <f t="shared" si="4"/>
        <v>2.1750663129973447</v>
      </c>
      <c r="N22" s="1">
        <v>158</v>
      </c>
      <c r="O22" s="1">
        <f t="shared" si="5"/>
        <v>-1.0759493670886005</v>
      </c>
      <c r="P22" s="1">
        <v>159.9</v>
      </c>
      <c r="Q22" s="1">
        <f t="shared" si="6"/>
        <v>-10.631644777986242</v>
      </c>
      <c r="R22" s="1">
        <v>170.8</v>
      </c>
      <c r="S22" s="1">
        <f t="shared" si="7"/>
        <v>-5.8548009367694803E-2</v>
      </c>
      <c r="T22" s="1">
        <v>121.8</v>
      </c>
      <c r="U22" s="1">
        <f t="shared" si="8"/>
        <v>-1.2315270935960592</v>
      </c>
      <c r="V22" s="1">
        <v>205.2</v>
      </c>
      <c r="W22" s="1">
        <f t="shared" si="9"/>
        <v>2.5828460038986409</v>
      </c>
      <c r="X22" s="1">
        <v>171</v>
      </c>
      <c r="Y22" s="1">
        <f t="shared" si="10"/>
        <v>3.4502923976608222</v>
      </c>
      <c r="Z22" s="1">
        <v>190.3</v>
      </c>
      <c r="AA22" s="1">
        <f t="shared" si="11"/>
        <v>-0.94587493431424663</v>
      </c>
      <c r="AB22" s="1">
        <f t="shared" si="12"/>
        <v>-1.4106040987639017</v>
      </c>
    </row>
    <row r="23" spans="1:28" x14ac:dyDescent="0.55000000000000004">
      <c r="A23" s="2" t="s">
        <v>30</v>
      </c>
      <c r="B23" s="1">
        <v>2023</v>
      </c>
      <c r="C23" s="1" t="s">
        <v>31</v>
      </c>
      <c r="D23" s="1">
        <v>174</v>
      </c>
      <c r="E23" s="25">
        <f t="shared" si="0"/>
        <v>-0.4022988505747116</v>
      </c>
      <c r="F23" s="1">
        <v>208.3</v>
      </c>
      <c r="G23" s="1">
        <f t="shared" si="1"/>
        <v>3.3125300048007569</v>
      </c>
      <c r="H23" s="1">
        <v>192.9</v>
      </c>
      <c r="I23" s="1">
        <f t="shared" si="2"/>
        <v>2.1254536029030557</v>
      </c>
      <c r="J23" s="1">
        <v>174.3</v>
      </c>
      <c r="K23" s="1">
        <f t="shared" si="3"/>
        <v>0.51635111876074424</v>
      </c>
      <c r="L23" s="1">
        <v>192.6</v>
      </c>
      <c r="M23" s="1">
        <f t="shared" si="4"/>
        <v>-7.580477673935615</v>
      </c>
      <c r="N23" s="1">
        <v>156.30000000000001</v>
      </c>
      <c r="O23" s="1">
        <f t="shared" si="5"/>
        <v>2.6871401151631402</v>
      </c>
      <c r="P23" s="1">
        <v>142.9</v>
      </c>
      <c r="Q23" s="1">
        <f t="shared" si="6"/>
        <v>22.673198040587828</v>
      </c>
      <c r="R23" s="1">
        <v>170.7</v>
      </c>
      <c r="S23" s="1">
        <f t="shared" si="7"/>
        <v>0.29291154071470421</v>
      </c>
      <c r="T23" s="1">
        <v>120.3</v>
      </c>
      <c r="U23" s="1">
        <f t="shared" si="8"/>
        <v>1.9950124688279347</v>
      </c>
      <c r="V23" s="1">
        <v>210.5</v>
      </c>
      <c r="W23" s="1">
        <f t="shared" si="9"/>
        <v>-2.9453681710213724</v>
      </c>
      <c r="X23" s="1">
        <v>176.9</v>
      </c>
      <c r="Y23" s="1">
        <f t="shared" si="10"/>
        <v>-7.4618428490672786</v>
      </c>
      <c r="Z23" s="1">
        <v>188.5</v>
      </c>
      <c r="AA23" s="1">
        <f t="shared" si="11"/>
        <v>3.0769230769230829</v>
      </c>
      <c r="AB23" s="1">
        <f t="shared" si="12"/>
        <v>18.289532424082271</v>
      </c>
    </row>
    <row r="24" spans="1:28" x14ac:dyDescent="0.55000000000000004">
      <c r="A24" s="2" t="s">
        <v>33</v>
      </c>
      <c r="B24" s="1">
        <v>2023</v>
      </c>
      <c r="C24" s="1" t="s">
        <v>31</v>
      </c>
      <c r="D24" s="1">
        <v>173.3</v>
      </c>
      <c r="E24" s="25">
        <f t="shared" si="0"/>
        <v>0.28851702250431988</v>
      </c>
      <c r="F24" s="1">
        <v>215.2</v>
      </c>
      <c r="G24" s="1">
        <f t="shared" si="1"/>
        <v>-2.0910780669144984</v>
      </c>
      <c r="H24" s="1">
        <v>197</v>
      </c>
      <c r="I24" s="1">
        <f t="shared" si="2"/>
        <v>-1.2690355329949239</v>
      </c>
      <c r="J24" s="1">
        <v>175.2</v>
      </c>
      <c r="K24" s="1">
        <f t="shared" si="3"/>
        <v>-0.34246575342465435</v>
      </c>
      <c r="L24" s="1">
        <v>178</v>
      </c>
      <c r="M24" s="1">
        <f t="shared" si="4"/>
        <v>5.1685393258426906</v>
      </c>
      <c r="N24" s="1">
        <v>160.5</v>
      </c>
      <c r="O24" s="1">
        <f t="shared" si="5"/>
        <v>-1.3707165109034196</v>
      </c>
      <c r="P24" s="1">
        <v>175.3</v>
      </c>
      <c r="Q24" s="1">
        <f t="shared" si="6"/>
        <v>-12.207644038790647</v>
      </c>
      <c r="R24" s="1">
        <v>171.2</v>
      </c>
      <c r="S24" s="1">
        <f t="shared" si="7"/>
        <v>-0.17523364485980314</v>
      </c>
      <c r="T24" s="1">
        <v>122.7</v>
      </c>
      <c r="U24" s="1">
        <f t="shared" si="8"/>
        <v>-1.3039934800326067</v>
      </c>
      <c r="V24" s="1">
        <v>204.3</v>
      </c>
      <c r="W24" s="1">
        <f t="shared" si="9"/>
        <v>2.0068526676456164</v>
      </c>
      <c r="X24" s="1">
        <v>163.69999999999999</v>
      </c>
      <c r="Y24" s="1">
        <f t="shared" si="10"/>
        <v>4.7037263286499806</v>
      </c>
      <c r="Z24" s="1">
        <v>194.3</v>
      </c>
      <c r="AA24" s="1">
        <f t="shared" si="11"/>
        <v>-1.5954709212558016</v>
      </c>
      <c r="AB24" s="1">
        <f t="shared" si="12"/>
        <v>-8.1880026045337466</v>
      </c>
    </row>
    <row r="25" spans="1:28" x14ac:dyDescent="0.55000000000000004">
      <c r="A25" s="2" t="s">
        <v>34</v>
      </c>
      <c r="B25" s="1">
        <v>2023</v>
      </c>
      <c r="C25" s="1" t="s">
        <v>31</v>
      </c>
      <c r="D25" s="1">
        <v>173.8</v>
      </c>
      <c r="E25" s="25">
        <f t="shared" si="0"/>
        <v>0.23014959723819395</v>
      </c>
      <c r="F25" s="1">
        <v>210.7</v>
      </c>
      <c r="G25" s="1">
        <f t="shared" si="1"/>
        <v>-2.6103464641670624</v>
      </c>
      <c r="H25" s="1">
        <v>194.5</v>
      </c>
      <c r="I25" s="1">
        <f t="shared" si="2"/>
        <v>-10.591259640102825</v>
      </c>
      <c r="J25" s="1">
        <v>174.6</v>
      </c>
      <c r="K25" s="1">
        <f t="shared" si="3"/>
        <v>1.3745704467353985</v>
      </c>
      <c r="L25" s="1">
        <v>187.2</v>
      </c>
      <c r="M25" s="1">
        <f t="shared" si="4"/>
        <v>-2.0299145299145209</v>
      </c>
      <c r="N25" s="1">
        <v>158.30000000000001</v>
      </c>
      <c r="O25" s="1">
        <f t="shared" si="5"/>
        <v>5.6222362602653044</v>
      </c>
      <c r="P25" s="1">
        <v>153.9</v>
      </c>
      <c r="Q25" s="1">
        <f t="shared" si="6"/>
        <v>-8.4470435347628321</v>
      </c>
      <c r="R25" s="1">
        <v>170.9</v>
      </c>
      <c r="S25" s="1">
        <f t="shared" si="7"/>
        <v>-0.29256875365710938</v>
      </c>
      <c r="T25" s="1">
        <v>121.1</v>
      </c>
      <c r="U25" s="1">
        <f t="shared" si="8"/>
        <v>-1.6515276630883569</v>
      </c>
      <c r="V25" s="1">
        <v>208.4</v>
      </c>
      <c r="W25" s="1">
        <f t="shared" si="9"/>
        <v>1.7754318618042171</v>
      </c>
      <c r="X25" s="1">
        <v>171.4</v>
      </c>
      <c r="Y25" s="1">
        <f t="shared" si="10"/>
        <v>3.6172695449241474</v>
      </c>
      <c r="Z25" s="1">
        <v>191.2</v>
      </c>
      <c r="AA25" s="1">
        <f t="shared" si="11"/>
        <v>-0.67991631799162289</v>
      </c>
      <c r="AB25" s="1">
        <f t="shared" si="12"/>
        <v>-13.682919192717067</v>
      </c>
    </row>
    <row r="26" spans="1:28" x14ac:dyDescent="0.55000000000000004">
      <c r="A26" s="2" t="s">
        <v>30</v>
      </c>
      <c r="B26" s="1">
        <v>2023</v>
      </c>
      <c r="C26" s="1" t="s">
        <v>35</v>
      </c>
      <c r="D26" s="1">
        <v>174.2</v>
      </c>
      <c r="E26" s="25">
        <f t="shared" si="0"/>
        <v>0.28702640642939148</v>
      </c>
      <c r="F26" s="1">
        <v>205.2</v>
      </c>
      <c r="G26" s="1">
        <f t="shared" si="1"/>
        <v>3.4113060428849904</v>
      </c>
      <c r="H26" s="1">
        <v>173.9</v>
      </c>
      <c r="I26" s="1">
        <f t="shared" si="2"/>
        <v>1.8976423231742281</v>
      </c>
      <c r="J26" s="1">
        <v>177</v>
      </c>
      <c r="K26" s="1">
        <f t="shared" si="3"/>
        <v>0.50847457627118964</v>
      </c>
      <c r="L26" s="1">
        <v>183.4</v>
      </c>
      <c r="M26" s="1">
        <f t="shared" si="4"/>
        <v>-6.1068702290076429</v>
      </c>
      <c r="N26" s="1">
        <v>167.2</v>
      </c>
      <c r="O26" s="1">
        <f t="shared" si="5"/>
        <v>2.9306220095693813</v>
      </c>
      <c r="P26" s="1">
        <v>140.9</v>
      </c>
      <c r="Q26" s="1">
        <f t="shared" si="6"/>
        <v>24.769339957416612</v>
      </c>
      <c r="R26" s="1">
        <v>170.4</v>
      </c>
      <c r="S26" s="1">
        <f t="shared" si="7"/>
        <v>1.056338028169004</v>
      </c>
      <c r="T26" s="1">
        <v>119.1</v>
      </c>
      <c r="U26" s="1">
        <f t="shared" si="8"/>
        <v>2.3509655751469452</v>
      </c>
      <c r="V26" s="1">
        <v>212.1</v>
      </c>
      <c r="W26" s="1">
        <f t="shared" si="9"/>
        <v>-3.4417727487034337</v>
      </c>
      <c r="X26" s="1">
        <v>177.6</v>
      </c>
      <c r="Y26" s="1">
        <f t="shared" si="10"/>
        <v>-7.1509009009008944</v>
      </c>
      <c r="Z26" s="1">
        <v>189.9</v>
      </c>
      <c r="AA26" s="1">
        <f t="shared" si="11"/>
        <v>3.5281727224855128</v>
      </c>
      <c r="AB26" s="1">
        <f t="shared" si="12"/>
        <v>24.040343762935287</v>
      </c>
    </row>
    <row r="27" spans="1:28" x14ac:dyDescent="0.55000000000000004">
      <c r="A27" s="2" t="s">
        <v>33</v>
      </c>
      <c r="B27" s="1">
        <v>2023</v>
      </c>
      <c r="C27" s="1" t="s">
        <v>35</v>
      </c>
      <c r="D27" s="1">
        <v>174.7</v>
      </c>
      <c r="E27" s="25">
        <f t="shared" si="0"/>
        <v>-0.17172295363478973</v>
      </c>
      <c r="F27" s="1">
        <v>212.2</v>
      </c>
      <c r="G27" s="1">
        <f t="shared" si="1"/>
        <v>-2.1206409048067862</v>
      </c>
      <c r="H27" s="1">
        <v>177.2</v>
      </c>
      <c r="I27" s="1">
        <f t="shared" si="2"/>
        <v>-1.1286681715575622</v>
      </c>
      <c r="J27" s="1">
        <v>177.9</v>
      </c>
      <c r="K27" s="1">
        <f t="shared" si="3"/>
        <v>-0.33726812816188551</v>
      </c>
      <c r="L27" s="1">
        <v>172.2</v>
      </c>
      <c r="M27" s="1">
        <f t="shared" si="4"/>
        <v>4.1231126596980392</v>
      </c>
      <c r="N27" s="1">
        <v>172.1</v>
      </c>
      <c r="O27" s="1">
        <f t="shared" si="5"/>
        <v>-1.5107495642068534</v>
      </c>
      <c r="P27" s="1">
        <v>175.8</v>
      </c>
      <c r="Q27" s="1">
        <f t="shared" si="6"/>
        <v>-13.139931740614347</v>
      </c>
      <c r="R27" s="1">
        <v>172.2</v>
      </c>
      <c r="S27" s="1">
        <f t="shared" si="7"/>
        <v>-0.69686411149825123</v>
      </c>
      <c r="T27" s="1">
        <v>121.9</v>
      </c>
      <c r="U27" s="1">
        <f t="shared" si="8"/>
        <v>-1.5586546349466821</v>
      </c>
      <c r="V27" s="1">
        <v>204.8</v>
      </c>
      <c r="W27" s="1">
        <f t="shared" si="9"/>
        <v>2.3925781249999889</v>
      </c>
      <c r="X27" s="1">
        <v>164.9</v>
      </c>
      <c r="Y27" s="1">
        <f t="shared" si="10"/>
        <v>4.4875682231655585</v>
      </c>
      <c r="Z27" s="1">
        <v>196.6</v>
      </c>
      <c r="AA27" s="1">
        <f t="shared" si="11"/>
        <v>-1.8311291963377387</v>
      </c>
      <c r="AB27" s="1">
        <f t="shared" si="12"/>
        <v>-11.492370397901308</v>
      </c>
    </row>
    <row r="28" spans="1:28" x14ac:dyDescent="0.55000000000000004">
      <c r="A28" s="2" t="s">
        <v>34</v>
      </c>
      <c r="B28" s="1">
        <v>2023</v>
      </c>
      <c r="C28" s="1" t="s">
        <v>35</v>
      </c>
      <c r="D28" s="1">
        <v>174.4</v>
      </c>
      <c r="E28" s="25">
        <f t="shared" si="0"/>
        <v>-5.7339449541282672E-2</v>
      </c>
      <c r="F28" s="1">
        <v>207.7</v>
      </c>
      <c r="G28" s="1">
        <f t="shared" si="1"/>
        <v>-1.203659123736158</v>
      </c>
      <c r="H28" s="1">
        <v>175.2</v>
      </c>
      <c r="I28" s="1">
        <f t="shared" si="2"/>
        <v>-0.74200913242008171</v>
      </c>
      <c r="J28" s="1">
        <v>177.3</v>
      </c>
      <c r="K28" s="1">
        <f t="shared" si="3"/>
        <v>-0.16920473773266292</v>
      </c>
      <c r="L28" s="1">
        <v>179.3</v>
      </c>
      <c r="M28" s="1">
        <f t="shared" si="4"/>
        <v>2.2308979364194088</v>
      </c>
      <c r="N28" s="1">
        <v>169.5</v>
      </c>
      <c r="O28" s="1">
        <f t="shared" si="5"/>
        <v>-1.3569321533923371</v>
      </c>
      <c r="P28" s="1">
        <v>152.69999999999999</v>
      </c>
      <c r="Q28" s="1">
        <f t="shared" si="6"/>
        <v>-7.727570399476086</v>
      </c>
      <c r="R28" s="1">
        <v>171</v>
      </c>
      <c r="S28" s="1">
        <f t="shared" si="7"/>
        <v>-0.29239766081871343</v>
      </c>
      <c r="T28" s="1">
        <v>120</v>
      </c>
      <c r="U28" s="1">
        <f t="shared" si="8"/>
        <v>-0.75000000000000477</v>
      </c>
      <c r="V28" s="1">
        <v>209.7</v>
      </c>
      <c r="W28" s="1">
        <f t="shared" si="9"/>
        <v>1.1444921316165979</v>
      </c>
      <c r="X28" s="1">
        <v>172.3</v>
      </c>
      <c r="Y28" s="1">
        <f t="shared" si="10"/>
        <v>3.0760301799187362</v>
      </c>
      <c r="Z28" s="1">
        <v>193</v>
      </c>
      <c r="AA28" s="1">
        <f t="shared" si="11"/>
        <v>-1.6062176165803079</v>
      </c>
      <c r="AB28" s="1">
        <f t="shared" si="12"/>
        <v>-7.4539100257428919</v>
      </c>
    </row>
    <row r="29" spans="1:28" x14ac:dyDescent="0.55000000000000004">
      <c r="A29" s="2" t="s">
        <v>30</v>
      </c>
      <c r="B29" s="1">
        <v>2023</v>
      </c>
      <c r="C29" s="1" t="s">
        <v>36</v>
      </c>
      <c r="D29" s="1">
        <v>174.3</v>
      </c>
      <c r="E29" s="25">
        <f t="shared" si="0"/>
        <v>0.22948938611588865</v>
      </c>
      <c r="F29" s="1">
        <v>205.2</v>
      </c>
      <c r="G29" s="1">
        <f t="shared" si="1"/>
        <v>3.4113060428849904</v>
      </c>
      <c r="H29" s="1">
        <v>173.9</v>
      </c>
      <c r="I29" s="1">
        <f t="shared" si="2"/>
        <v>1.8976423231742281</v>
      </c>
      <c r="J29" s="1">
        <v>177</v>
      </c>
      <c r="K29" s="1">
        <f t="shared" si="3"/>
        <v>0.50847457627118964</v>
      </c>
      <c r="L29" s="1">
        <v>183.3</v>
      </c>
      <c r="M29" s="1">
        <f t="shared" si="4"/>
        <v>-6.0556464811784076</v>
      </c>
      <c r="N29" s="1">
        <v>167.2</v>
      </c>
      <c r="O29" s="1">
        <f t="shared" si="5"/>
        <v>2.9306220095693813</v>
      </c>
      <c r="P29" s="1">
        <v>140.9</v>
      </c>
      <c r="Q29" s="1">
        <f t="shared" si="6"/>
        <v>24.840312278211496</v>
      </c>
      <c r="R29" s="1">
        <v>170.5</v>
      </c>
      <c r="S29" s="1">
        <f t="shared" si="7"/>
        <v>0.99706744868034525</v>
      </c>
      <c r="T29" s="1">
        <v>119.1</v>
      </c>
      <c r="U29" s="1">
        <f t="shared" si="8"/>
        <v>2.3509655751469452</v>
      </c>
      <c r="V29" s="1">
        <v>212.1</v>
      </c>
      <c r="W29" s="1">
        <f t="shared" si="9"/>
        <v>-3.4417727487034337</v>
      </c>
      <c r="X29" s="1">
        <v>177.6</v>
      </c>
      <c r="Y29" s="1">
        <f t="shared" si="10"/>
        <v>-7.1509009009008944</v>
      </c>
      <c r="Z29" s="1">
        <v>189.9</v>
      </c>
      <c r="AA29" s="1">
        <f t="shared" si="11"/>
        <v>3.5281727224855128</v>
      </c>
      <c r="AB29" s="1">
        <f t="shared" si="12"/>
        <v>24.045732231757242</v>
      </c>
    </row>
    <row r="30" spans="1:28" x14ac:dyDescent="0.55000000000000004">
      <c r="A30" s="2" t="s">
        <v>33</v>
      </c>
      <c r="B30" s="1">
        <v>2023</v>
      </c>
      <c r="C30" s="1" t="s">
        <v>36</v>
      </c>
      <c r="D30" s="1">
        <v>174.7</v>
      </c>
      <c r="E30" s="25">
        <f t="shared" si="0"/>
        <v>-0.17172295363478973</v>
      </c>
      <c r="F30" s="1">
        <v>212.2</v>
      </c>
      <c r="G30" s="1">
        <f t="shared" si="1"/>
        <v>-2.1206409048067862</v>
      </c>
      <c r="H30" s="1">
        <v>177.2</v>
      </c>
      <c r="I30" s="1">
        <f t="shared" si="2"/>
        <v>-1.1286681715575622</v>
      </c>
      <c r="J30" s="1">
        <v>177.9</v>
      </c>
      <c r="K30" s="1">
        <f t="shared" si="3"/>
        <v>-0.33726812816188551</v>
      </c>
      <c r="L30" s="1">
        <v>172.2</v>
      </c>
      <c r="M30" s="1">
        <f t="shared" si="4"/>
        <v>4.0650406504065044</v>
      </c>
      <c r="N30" s="1">
        <v>172.1</v>
      </c>
      <c r="O30" s="1">
        <f t="shared" si="5"/>
        <v>-1.5107495642068534</v>
      </c>
      <c r="P30" s="1">
        <v>175.9</v>
      </c>
      <c r="Q30" s="1">
        <f t="shared" si="6"/>
        <v>-13.132461625923817</v>
      </c>
      <c r="R30" s="1">
        <v>172.2</v>
      </c>
      <c r="S30" s="1">
        <f t="shared" si="7"/>
        <v>-0.6387921022067331</v>
      </c>
      <c r="T30" s="1">
        <v>121.9</v>
      </c>
      <c r="U30" s="1">
        <f t="shared" si="8"/>
        <v>-1.5586546349466821</v>
      </c>
      <c r="V30" s="1">
        <v>204.8</v>
      </c>
      <c r="W30" s="1">
        <f t="shared" si="9"/>
        <v>2.3925781249999889</v>
      </c>
      <c r="X30" s="1">
        <v>164.9</v>
      </c>
      <c r="Y30" s="1">
        <f t="shared" si="10"/>
        <v>4.4875682231655585</v>
      </c>
      <c r="Z30" s="1">
        <v>196.6</v>
      </c>
      <c r="AA30" s="1">
        <f t="shared" si="11"/>
        <v>-1.8311291963377387</v>
      </c>
      <c r="AB30" s="1">
        <f t="shared" si="12"/>
        <v>-11.484900283210795</v>
      </c>
    </row>
    <row r="31" spans="1:28" x14ac:dyDescent="0.55000000000000004">
      <c r="A31" s="2" t="s">
        <v>34</v>
      </c>
      <c r="B31" s="1">
        <v>2023</v>
      </c>
      <c r="C31" s="1" t="s">
        <v>36</v>
      </c>
      <c r="D31" s="1">
        <v>174.4</v>
      </c>
      <c r="E31" s="25">
        <f t="shared" si="0"/>
        <v>-0.6307339449541205</v>
      </c>
      <c r="F31" s="1">
        <v>207.7</v>
      </c>
      <c r="G31" s="1">
        <f t="shared" si="1"/>
        <v>-0.38517091959556232</v>
      </c>
      <c r="H31" s="1">
        <v>175.2</v>
      </c>
      <c r="I31" s="1">
        <f t="shared" si="2"/>
        <v>-4.1666666666666572</v>
      </c>
      <c r="J31" s="1">
        <v>177.3</v>
      </c>
      <c r="K31" s="1">
        <f t="shared" si="3"/>
        <v>0.50761421319795663</v>
      </c>
      <c r="L31" s="1">
        <v>179.2</v>
      </c>
      <c r="M31" s="1">
        <f t="shared" si="4"/>
        <v>-0.39062499999999367</v>
      </c>
      <c r="N31" s="1">
        <v>169.5</v>
      </c>
      <c r="O31" s="1">
        <f t="shared" si="5"/>
        <v>2.4778761061946835</v>
      </c>
      <c r="P31" s="1">
        <v>152.80000000000001</v>
      </c>
      <c r="Q31" s="1">
        <f t="shared" si="6"/>
        <v>-6.5445026178010473</v>
      </c>
      <c r="R31" s="1">
        <v>171.1</v>
      </c>
      <c r="S31" s="1">
        <f t="shared" si="7"/>
        <v>0.9935710111046272</v>
      </c>
      <c r="T31" s="1">
        <v>120</v>
      </c>
      <c r="U31" s="1">
        <f t="shared" si="8"/>
        <v>0.33333333333333809</v>
      </c>
      <c r="V31" s="1">
        <v>209.7</v>
      </c>
      <c r="W31" s="1">
        <f t="shared" si="9"/>
        <v>2.7658559847401105</v>
      </c>
      <c r="X31" s="1">
        <v>172.3</v>
      </c>
      <c r="Y31" s="1">
        <f t="shared" si="10"/>
        <v>3.4242600116076476</v>
      </c>
      <c r="Z31" s="1">
        <v>193</v>
      </c>
      <c r="AA31" s="1">
        <f t="shared" si="11"/>
        <v>-1.2953367875647668</v>
      </c>
      <c r="AB31" s="1">
        <f t="shared" si="12"/>
        <v>-2.9105252764037832</v>
      </c>
    </row>
    <row r="32" spans="1:28" x14ac:dyDescent="0.55000000000000004">
      <c r="A32" s="2" t="s">
        <v>30</v>
      </c>
      <c r="B32" s="1">
        <v>2023</v>
      </c>
      <c r="C32" s="1" t="s">
        <v>37</v>
      </c>
      <c r="D32" s="1">
        <v>173.3</v>
      </c>
      <c r="E32" s="25">
        <f t="shared" si="0"/>
        <v>0.86555106751298183</v>
      </c>
      <c r="F32" s="1">
        <v>206.9</v>
      </c>
      <c r="G32" s="1">
        <f t="shared" si="1"/>
        <v>3.2866118898018284</v>
      </c>
      <c r="H32" s="1">
        <v>167.9</v>
      </c>
      <c r="I32" s="1">
        <f t="shared" si="2"/>
        <v>2.6801667659321025</v>
      </c>
      <c r="J32" s="1">
        <v>178.2</v>
      </c>
      <c r="K32" s="1">
        <f t="shared" si="3"/>
        <v>0.33670033670034949</v>
      </c>
      <c r="L32" s="1">
        <v>178.5</v>
      </c>
      <c r="M32" s="1">
        <f t="shared" si="4"/>
        <v>-5.4901960784313788</v>
      </c>
      <c r="N32" s="1">
        <v>173.7</v>
      </c>
      <c r="O32" s="1">
        <f t="shared" si="5"/>
        <v>3.1663788140472082</v>
      </c>
      <c r="P32" s="1">
        <v>142.80000000000001</v>
      </c>
      <c r="Q32" s="1">
        <f t="shared" si="6"/>
        <v>25.980392156862738</v>
      </c>
      <c r="R32" s="1">
        <v>172.8</v>
      </c>
      <c r="S32" s="1">
        <f t="shared" si="7"/>
        <v>1.0995370370370237</v>
      </c>
      <c r="T32" s="1">
        <v>120.4</v>
      </c>
      <c r="U32" s="1">
        <f t="shared" si="8"/>
        <v>2.2425249169435122</v>
      </c>
      <c r="V32" s="1">
        <v>215.5</v>
      </c>
      <c r="W32" s="1">
        <f t="shared" si="9"/>
        <v>-3.5730858468677447</v>
      </c>
      <c r="X32" s="1">
        <v>178.2</v>
      </c>
      <c r="Y32" s="1">
        <f t="shared" si="10"/>
        <v>-7.1268237934904546</v>
      </c>
      <c r="Z32" s="1">
        <v>190.5</v>
      </c>
      <c r="AA32" s="1">
        <f t="shared" si="11"/>
        <v>3.4120734908136483</v>
      </c>
      <c r="AB32" s="1">
        <f t="shared" si="12"/>
        <v>26.879830756861814</v>
      </c>
    </row>
    <row r="33" spans="1:28" x14ac:dyDescent="0.55000000000000004">
      <c r="A33" s="2" t="s">
        <v>33</v>
      </c>
      <c r="B33" s="1">
        <v>2023</v>
      </c>
      <c r="C33" s="1" t="s">
        <v>37</v>
      </c>
      <c r="D33" s="1">
        <v>174.8</v>
      </c>
      <c r="E33" s="25">
        <f t="shared" si="0"/>
        <v>-0.57208237986270394</v>
      </c>
      <c r="F33" s="1">
        <v>213.7</v>
      </c>
      <c r="G33" s="1">
        <f t="shared" si="1"/>
        <v>-2.0589611605053708</v>
      </c>
      <c r="H33" s="1">
        <v>172.4</v>
      </c>
      <c r="I33" s="1">
        <f t="shared" si="2"/>
        <v>-1.6241299303944381</v>
      </c>
      <c r="J33" s="1">
        <v>178.8</v>
      </c>
      <c r="K33" s="1">
        <f t="shared" si="3"/>
        <v>-0.22371364653244166</v>
      </c>
      <c r="L33" s="1">
        <v>168.7</v>
      </c>
      <c r="M33" s="1">
        <f t="shared" si="4"/>
        <v>3.6751630112626068</v>
      </c>
      <c r="N33" s="1">
        <v>179.2</v>
      </c>
      <c r="O33" s="1">
        <f t="shared" si="5"/>
        <v>-1.618303571428559</v>
      </c>
      <c r="P33" s="1">
        <v>179.9</v>
      </c>
      <c r="Q33" s="1">
        <f t="shared" si="6"/>
        <v>-13.618677042801556</v>
      </c>
      <c r="R33" s="1">
        <v>174.7</v>
      </c>
      <c r="S33" s="1">
        <f t="shared" si="7"/>
        <v>-0.74413279908413454</v>
      </c>
      <c r="T33" s="1">
        <v>123.1</v>
      </c>
      <c r="U33" s="1">
        <f t="shared" si="8"/>
        <v>-1.4622258326563748</v>
      </c>
      <c r="V33" s="1">
        <v>207.8</v>
      </c>
      <c r="W33" s="1">
        <f t="shared" si="9"/>
        <v>2.4542829643888324</v>
      </c>
      <c r="X33" s="1">
        <v>165.5</v>
      </c>
      <c r="Y33" s="1">
        <f t="shared" si="10"/>
        <v>4.4712990936555927</v>
      </c>
      <c r="Z33" s="1">
        <v>197</v>
      </c>
      <c r="AA33" s="1">
        <f t="shared" si="11"/>
        <v>-1.7766497461928934</v>
      </c>
      <c r="AB33" s="1">
        <f t="shared" si="12"/>
        <v>-13.098131040151438</v>
      </c>
    </row>
    <row r="34" spans="1:28" x14ac:dyDescent="0.55000000000000004">
      <c r="A34" s="2" t="s">
        <v>34</v>
      </c>
      <c r="B34" s="1">
        <v>2023</v>
      </c>
      <c r="C34" s="1" t="s">
        <v>37</v>
      </c>
      <c r="D34" s="1">
        <v>173.8</v>
      </c>
      <c r="E34" s="25">
        <f t="shared" si="0"/>
        <v>-0.34522439585732423</v>
      </c>
      <c r="F34" s="1">
        <v>209.3</v>
      </c>
      <c r="G34" s="1">
        <f t="shared" si="1"/>
        <v>1.0511227902532196</v>
      </c>
      <c r="H34" s="1">
        <v>169.6</v>
      </c>
      <c r="I34" s="1">
        <f t="shared" si="2"/>
        <v>0.82547169811321097</v>
      </c>
      <c r="J34" s="1">
        <v>178.4</v>
      </c>
      <c r="K34" s="1">
        <f t="shared" si="3"/>
        <v>0.67264573991030752</v>
      </c>
      <c r="L34" s="1">
        <v>174.9</v>
      </c>
      <c r="M34" s="1">
        <f t="shared" si="4"/>
        <v>-0.91480846197827004</v>
      </c>
      <c r="N34" s="1">
        <v>176.3</v>
      </c>
      <c r="O34" s="1">
        <f t="shared" si="5"/>
        <v>-4.1406693136698873</v>
      </c>
      <c r="P34" s="1">
        <v>155.4</v>
      </c>
      <c r="Q34" s="1">
        <f t="shared" si="6"/>
        <v>-4.3114543114543222</v>
      </c>
      <c r="R34" s="1">
        <v>173.4</v>
      </c>
      <c r="S34" s="1">
        <f t="shared" si="7"/>
        <v>0.86505190311418689</v>
      </c>
      <c r="T34" s="1">
        <v>121.3</v>
      </c>
      <c r="U34" s="1">
        <f t="shared" si="8"/>
        <v>0.494641384995885</v>
      </c>
      <c r="V34" s="1">
        <v>212.9</v>
      </c>
      <c r="W34" s="1">
        <f t="shared" si="9"/>
        <v>3.8046031000469678</v>
      </c>
      <c r="X34" s="1">
        <v>172.9</v>
      </c>
      <c r="Y34" s="1">
        <f t="shared" si="10"/>
        <v>3.3545401966454498</v>
      </c>
      <c r="Z34" s="1">
        <v>193.5</v>
      </c>
      <c r="AA34" s="1">
        <f t="shared" si="11"/>
        <v>-1.2403100775193827</v>
      </c>
      <c r="AB34" s="1">
        <f t="shared" si="12"/>
        <v>0.11561025260004087</v>
      </c>
    </row>
    <row r="35" spans="1:28" x14ac:dyDescent="0.55000000000000004">
      <c r="A35" s="2" t="s">
        <v>30</v>
      </c>
      <c r="B35" s="1">
        <v>2023</v>
      </c>
      <c r="C35" s="1" t="s">
        <v>38</v>
      </c>
      <c r="D35" s="1">
        <v>173.2</v>
      </c>
      <c r="E35" s="25">
        <f t="shared" si="0"/>
        <v>0.86605080831407832</v>
      </c>
      <c r="F35" s="1">
        <v>211.5</v>
      </c>
      <c r="G35" s="1">
        <f t="shared" si="1"/>
        <v>3.7352245862884184</v>
      </c>
      <c r="H35" s="1">
        <v>171</v>
      </c>
      <c r="I35" s="1">
        <f t="shared" si="2"/>
        <v>3.3333333333333268</v>
      </c>
      <c r="J35" s="1">
        <v>179.6</v>
      </c>
      <c r="K35" s="1">
        <f t="shared" si="3"/>
        <v>-0.11135857461023865</v>
      </c>
      <c r="L35" s="1">
        <v>173.3</v>
      </c>
      <c r="M35" s="1">
        <f t="shared" si="4"/>
        <v>-5.1356030005770368</v>
      </c>
      <c r="N35" s="1">
        <v>169</v>
      </c>
      <c r="O35" s="1">
        <f t="shared" si="5"/>
        <v>4.0236686390532617</v>
      </c>
      <c r="P35" s="1">
        <v>148.69999999999999</v>
      </c>
      <c r="Q35" s="1">
        <f t="shared" si="6"/>
        <v>24.411566913248159</v>
      </c>
      <c r="R35" s="1">
        <v>174.9</v>
      </c>
      <c r="S35" s="1">
        <f t="shared" si="7"/>
        <v>1.1435105774728416</v>
      </c>
      <c r="T35" s="1">
        <v>121.9</v>
      </c>
      <c r="U35" s="1">
        <f t="shared" si="8"/>
        <v>1.8867924528301863</v>
      </c>
      <c r="V35" s="1">
        <v>221</v>
      </c>
      <c r="W35" s="1">
        <f t="shared" si="9"/>
        <v>-4.1176470588235272</v>
      </c>
      <c r="X35" s="1">
        <v>178.7</v>
      </c>
      <c r="Y35" s="1">
        <f t="shared" si="10"/>
        <v>-7.1628427532176744</v>
      </c>
      <c r="Z35" s="1">
        <v>191.1</v>
      </c>
      <c r="AA35" s="1">
        <f t="shared" si="11"/>
        <v>3.4536891679748791</v>
      </c>
      <c r="AB35" s="1">
        <f t="shared" si="12"/>
        <v>26.326385091286667</v>
      </c>
    </row>
    <row r="36" spans="1:28" x14ac:dyDescent="0.55000000000000004">
      <c r="A36" s="2" t="s">
        <v>33</v>
      </c>
      <c r="B36" s="1">
        <v>2023</v>
      </c>
      <c r="C36" s="1" t="s">
        <v>38</v>
      </c>
      <c r="D36" s="1">
        <v>174.7</v>
      </c>
      <c r="E36" s="25">
        <f t="shared" si="0"/>
        <v>-0.57240984544933982</v>
      </c>
      <c r="F36" s="1">
        <v>219.4</v>
      </c>
      <c r="G36" s="1">
        <f t="shared" si="1"/>
        <v>-2.3245214220601613</v>
      </c>
      <c r="H36" s="1">
        <v>176.7</v>
      </c>
      <c r="I36" s="1">
        <f t="shared" si="2"/>
        <v>-1.9807583474816073</v>
      </c>
      <c r="J36" s="1">
        <v>179.4</v>
      </c>
      <c r="K36" s="1">
        <f t="shared" si="3"/>
        <v>5.5741360089183005E-2</v>
      </c>
      <c r="L36" s="1">
        <v>164.4</v>
      </c>
      <c r="M36" s="1">
        <f t="shared" si="4"/>
        <v>3.4063260340632566</v>
      </c>
      <c r="N36" s="1">
        <v>175.8</v>
      </c>
      <c r="O36" s="1">
        <f t="shared" si="5"/>
        <v>-2.0477815699658835</v>
      </c>
      <c r="P36" s="1">
        <v>185</v>
      </c>
      <c r="Q36" s="1">
        <f t="shared" si="6"/>
        <v>-12.972972972972972</v>
      </c>
      <c r="R36" s="1">
        <v>176.9</v>
      </c>
      <c r="S36" s="1">
        <f t="shared" si="7"/>
        <v>-0.73487846240814658</v>
      </c>
      <c r="T36" s="1">
        <v>124.2</v>
      </c>
      <c r="U36" s="1">
        <f t="shared" si="8"/>
        <v>-1.2077294685990339</v>
      </c>
      <c r="V36" s="1">
        <v>211.9</v>
      </c>
      <c r="W36" s="1">
        <f t="shared" si="9"/>
        <v>2.8787163756488878</v>
      </c>
      <c r="X36" s="1">
        <v>165.9</v>
      </c>
      <c r="Y36" s="1">
        <f t="shared" si="10"/>
        <v>4.5207956600361658</v>
      </c>
      <c r="Z36" s="1">
        <v>197.7</v>
      </c>
      <c r="AA36" s="1">
        <f t="shared" si="11"/>
        <v>-1.7703591299949419</v>
      </c>
      <c r="AB36" s="1">
        <f t="shared" si="12"/>
        <v>-12.749831789094593</v>
      </c>
    </row>
    <row r="37" spans="1:28" x14ac:dyDescent="0.55000000000000004">
      <c r="A37" s="2" t="s">
        <v>34</v>
      </c>
      <c r="B37" s="1">
        <v>2023</v>
      </c>
      <c r="C37" s="1" t="s">
        <v>38</v>
      </c>
      <c r="D37" s="1">
        <v>173.7</v>
      </c>
      <c r="E37" s="25">
        <f t="shared" si="0"/>
        <v>-100</v>
      </c>
      <c r="F37" s="1">
        <v>214.3</v>
      </c>
      <c r="G37" s="1">
        <f t="shared" si="1"/>
        <v>-100</v>
      </c>
      <c r="H37" s="1">
        <v>173.2</v>
      </c>
      <c r="I37" s="1">
        <f t="shared" si="2"/>
        <v>-100</v>
      </c>
      <c r="J37" s="1">
        <v>179.5</v>
      </c>
      <c r="K37" s="1">
        <f t="shared" si="3"/>
        <v>-100</v>
      </c>
      <c r="L37" s="1">
        <v>170</v>
      </c>
      <c r="M37" s="1">
        <f t="shared" si="4"/>
        <v>-100</v>
      </c>
      <c r="N37" s="1">
        <v>172.2</v>
      </c>
      <c r="O37" s="1">
        <f t="shared" si="5"/>
        <v>-100</v>
      </c>
      <c r="P37" s="1">
        <v>161</v>
      </c>
      <c r="Q37" s="1">
        <f t="shared" si="6"/>
        <v>-100</v>
      </c>
      <c r="R37" s="1">
        <v>175.6</v>
      </c>
      <c r="S37" s="1">
        <f t="shared" si="7"/>
        <v>-100</v>
      </c>
      <c r="T37" s="1">
        <v>122.7</v>
      </c>
      <c r="U37" s="1">
        <f t="shared" si="8"/>
        <v>-100</v>
      </c>
      <c r="V37" s="1">
        <v>218</v>
      </c>
      <c r="W37" s="1">
        <f t="shared" si="9"/>
        <v>-99.999999999999986</v>
      </c>
      <c r="X37" s="1">
        <v>173.4</v>
      </c>
      <c r="Y37" s="1">
        <f t="shared" si="10"/>
        <v>-100</v>
      </c>
      <c r="Z37" s="1">
        <v>194.2</v>
      </c>
      <c r="AA37" s="1">
        <f>(Z38-Z37)/Z37%</f>
        <v>-100</v>
      </c>
      <c r="AB37" s="1">
        <f t="shared" si="12"/>
        <v>-1200</v>
      </c>
    </row>
    <row r="38" spans="1:28" x14ac:dyDescent="0.55000000000000004">
      <c r="A38" s="91" t="s">
        <v>143</v>
      </c>
      <c r="B38" s="91"/>
      <c r="C38" s="91"/>
      <c r="E38" s="75" cm="1">
        <f t="array" ref="E38">SUMPRODUCT(ABS(E2:E37))</f>
        <v>132.66700278985098</v>
      </c>
      <c r="G38" s="74" cm="1">
        <f t="array" ref="G38">SUMPRODUCT(ABS(G2:G37))</f>
        <v>179.60631127086697</v>
      </c>
      <c r="I38" s="74" cm="1">
        <f t="array" ref="I38">SUMPRODUCT(ABS(I2:I37))</f>
        <v>168.66166996282584</v>
      </c>
      <c r="K38" s="74" cm="1">
        <f t="array" ref="K38">SUMPRODUCT(ABS(K2:K37))</f>
        <v>115.92998608918549</v>
      </c>
      <c r="M38" s="74" cm="1">
        <f t="array" ref="M38">SUMPRODUCT(ABS(M2:M37))</f>
        <v>263.32483957092796</v>
      </c>
      <c r="O38" s="74" cm="1">
        <f t="array" ref="O38">SUMPRODUCT(ABS(O2:O37))</f>
        <v>189.87043893731899</v>
      </c>
      <c r="Q38" s="74" cm="1">
        <f t="array" ref="Q38">SUMPRODUCT(ABS(Q2:Q37))</f>
        <v>625.29836805384764</v>
      </c>
      <c r="S38" s="74" cm="1">
        <f t="array" ref="S38">SUMPRODUCT(ABS(S2:S37))</f>
        <v>117.85380787056405</v>
      </c>
      <c r="U38" s="74" cm="1">
        <f t="array" ref="U38">SUMPRODUCT(ABS(U2:U37))</f>
        <v>145.22501769505851</v>
      </c>
      <c r="W38" s="74" cm="1">
        <f t="array" ref="W38">SUMPRODUCT(ABS(W2:W37))</f>
        <v>191.40717338651044</v>
      </c>
      <c r="Y38" s="74" cm="1">
        <f t="array" ref="Y38">SUMPRODUCT(ABS(Y2:Y37))</f>
        <v>292.70556351087794</v>
      </c>
      <c r="AA38" s="74" cm="1">
        <f t="array" ref="AA38">SUMPRODUCT(ABS(AA2:AA37))</f>
        <v>166.14554391992138</v>
      </c>
      <c r="AB38" s="74">
        <f>E38+G38+I38+K38+M38+O38+Q38+S38+U38+W38+Y38+AA38</f>
        <v>2588.6957230577559</v>
      </c>
    </row>
    <row r="41" spans="1:28" ht="38.1" customHeight="1" x14ac:dyDescent="0.55000000000000004">
      <c r="A41" s="76" t="s">
        <v>54</v>
      </c>
      <c r="B41" s="77" t="s">
        <v>146</v>
      </c>
      <c r="D41" s="92" t="s">
        <v>147</v>
      </c>
      <c r="E41" s="92"/>
      <c r="F41" s="92"/>
      <c r="G41" s="92"/>
      <c r="H41" s="92"/>
      <c r="I41" s="92"/>
      <c r="J41" s="92"/>
    </row>
    <row r="42" spans="1:28" ht="14.4" customHeight="1" x14ac:dyDescent="0.55000000000000004">
      <c r="A42" s="2" t="s">
        <v>31</v>
      </c>
      <c r="B42" s="1">
        <v>-1.1937964577228477</v>
      </c>
      <c r="D42" s="92"/>
      <c r="E42" s="92"/>
      <c r="F42" s="92"/>
      <c r="G42" s="92"/>
      <c r="H42" s="92"/>
      <c r="I42" s="92"/>
      <c r="J42" s="92"/>
    </row>
    <row r="43" spans="1:28" x14ac:dyDescent="0.55000000000000004">
      <c r="A43" s="2" t="s">
        <v>35</v>
      </c>
      <c r="B43" s="1">
        <v>1.6980211130970291</v>
      </c>
      <c r="D43" s="92"/>
      <c r="E43" s="92"/>
      <c r="F43" s="92"/>
      <c r="G43" s="92"/>
      <c r="H43" s="92"/>
      <c r="I43" s="92"/>
      <c r="J43" s="92"/>
    </row>
    <row r="44" spans="1:28" x14ac:dyDescent="0.55000000000000004">
      <c r="A44" s="2" t="s">
        <v>36</v>
      </c>
      <c r="B44" s="1">
        <v>3.2167688907142211</v>
      </c>
    </row>
    <row r="45" spans="1:28" x14ac:dyDescent="0.55000000000000004">
      <c r="A45" s="2" t="s">
        <v>37</v>
      </c>
      <c r="B45" s="1">
        <v>4.6324366564368056</v>
      </c>
    </row>
    <row r="46" spans="1:28" x14ac:dyDescent="0.55000000000000004">
      <c r="A46" s="2" t="s">
        <v>38</v>
      </c>
      <c r="B46" s="1">
        <v>-395.47448223260267</v>
      </c>
    </row>
    <row r="47" spans="1:28" x14ac:dyDescent="0.55000000000000004">
      <c r="A47" s="2" t="s">
        <v>39</v>
      </c>
      <c r="B47" s="1">
        <v>3.2766658886068747</v>
      </c>
    </row>
    <row r="48" spans="1:28" x14ac:dyDescent="0.55000000000000004">
      <c r="A48" s="2" t="s">
        <v>40</v>
      </c>
      <c r="B48" s="1">
        <v>2.5774872987576214</v>
      </c>
    </row>
    <row r="49" spans="1:2" x14ac:dyDescent="0.55000000000000004">
      <c r="A49" s="2" t="s">
        <v>41</v>
      </c>
      <c r="B49" s="1">
        <v>3.6306953637076762</v>
      </c>
    </row>
    <row r="50" spans="1:2" x14ac:dyDescent="0.55000000000000004">
      <c r="A50" s="2" t="s">
        <v>42</v>
      </c>
      <c r="B50" s="1">
        <v>4.3879953752000018</v>
      </c>
    </row>
    <row r="51" spans="1:2" x14ac:dyDescent="0.55000000000000004">
      <c r="A51" s="2" t="s">
        <v>43</v>
      </c>
      <c r="B51" s="1">
        <v>2.417516861144247</v>
      </c>
    </row>
    <row r="52" spans="1:2" x14ac:dyDescent="0.55000000000000004">
      <c r="A52" s="2" t="s">
        <v>45</v>
      </c>
      <c r="B52" s="1">
        <v>0.17023157654970866</v>
      </c>
    </row>
    <row r="53" spans="1:2" x14ac:dyDescent="0.55000000000000004">
      <c r="A53" s="2" t="s">
        <v>46</v>
      </c>
      <c r="B53" s="1">
        <v>1.9119073331281402</v>
      </c>
    </row>
    <row r="54" spans="1:2" x14ac:dyDescent="0.55000000000000004">
      <c r="A54" s="2" t="s">
        <v>145</v>
      </c>
      <c r="B54" s="1">
        <v>2588.6957230577559</v>
      </c>
    </row>
    <row r="55" spans="1:2" x14ac:dyDescent="0.55000000000000004">
      <c r="A55" s="2" t="s">
        <v>55</v>
      </c>
      <c r="B55" s="1">
        <v>40.066218001589363</v>
      </c>
    </row>
    <row r="56" spans="1:2" x14ac:dyDescent="0.55000000000000004">
      <c r="A56"/>
    </row>
    <row r="57" spans="1:2" x14ac:dyDescent="0.55000000000000004">
      <c r="A57"/>
    </row>
    <row r="58" spans="1:2" x14ac:dyDescent="0.55000000000000004">
      <c r="A58"/>
    </row>
  </sheetData>
  <autoFilter ref="A1:AA1" xr:uid="{33DCBF54-530A-4FA5-B2DB-BB028278A534}"/>
  <mergeCells count="2">
    <mergeCell ref="A38:C38"/>
    <mergeCell ref="D41:J43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20BD-BBE3-4598-84E8-2E9BECF21EB3}">
  <dimension ref="A1:N373"/>
  <sheetViews>
    <sheetView workbookViewId="0">
      <pane ySplit="1" topLeftCell="A2" activePane="bottomLeft" state="frozen"/>
      <selection pane="bottomLeft" sqref="A1:N178"/>
    </sheetView>
  </sheetViews>
  <sheetFormatPr defaultRowHeight="14.4" x14ac:dyDescent="0.55000000000000004"/>
  <cols>
    <col min="1" max="1" width="8.83984375" style="2"/>
    <col min="4" max="4" width="16.47265625" style="1" bestFit="1" customWidth="1"/>
    <col min="5" max="5" width="18.3671875" style="1" bestFit="1" customWidth="1"/>
    <col min="7" max="7" width="16.5234375" bestFit="1" customWidth="1"/>
    <col min="8" max="8" width="28.83984375" bestFit="1" customWidth="1"/>
    <col min="9" max="9" width="28.83984375" customWidth="1"/>
    <col min="10" max="10" width="29.1015625" bestFit="1" customWidth="1"/>
    <col min="11" max="11" width="29.1015625" customWidth="1"/>
    <col min="12" max="12" width="11.41796875" style="1" bestFit="1" customWidth="1"/>
    <col min="13" max="13" width="13.3125" bestFit="1" customWidth="1"/>
    <col min="14" max="14" width="16.578125" style="1" customWidth="1"/>
  </cols>
  <sheetData>
    <row r="1" spans="1:14" x14ac:dyDescent="0.55000000000000004">
      <c r="A1" s="82" t="s">
        <v>0</v>
      </c>
      <c r="B1" s="83" t="s">
        <v>1</v>
      </c>
      <c r="C1" s="83" t="s">
        <v>2</v>
      </c>
      <c r="D1" s="83" t="s">
        <v>148</v>
      </c>
      <c r="E1" s="83" t="s">
        <v>149</v>
      </c>
      <c r="F1" s="83" t="s">
        <v>23</v>
      </c>
      <c r="G1" s="83" t="s">
        <v>150</v>
      </c>
      <c r="H1" s="83" t="s">
        <v>22</v>
      </c>
      <c r="I1" s="83" t="s">
        <v>151</v>
      </c>
      <c r="J1" s="83" t="s">
        <v>24</v>
      </c>
      <c r="K1" s="83" t="s">
        <v>152</v>
      </c>
      <c r="L1" s="84" t="s">
        <v>20</v>
      </c>
      <c r="M1" s="83" t="s">
        <v>153</v>
      </c>
      <c r="N1" s="85" t="s">
        <v>156</v>
      </c>
    </row>
    <row r="2" spans="1:14" x14ac:dyDescent="0.55000000000000004">
      <c r="A2" s="14" t="s">
        <v>30</v>
      </c>
      <c r="B2" s="19">
        <v>2018</v>
      </c>
      <c r="C2" s="19" t="s">
        <v>31</v>
      </c>
      <c r="D2" s="19">
        <v>1660.3</v>
      </c>
      <c r="E2" s="19">
        <f t="shared" ref="E2:E14" si="0">(D3/D2-1)*100</f>
        <v>-2.9633198819490336</v>
      </c>
      <c r="F2" s="19">
        <v>136</v>
      </c>
      <c r="G2" s="19">
        <f>(F3/F2-1)*100</f>
        <v>-5.1470588235294157</v>
      </c>
      <c r="H2" s="19">
        <v>139.80000000000001</v>
      </c>
      <c r="I2" s="19">
        <f>(H3/H2-1)*100</f>
        <v>-7.3676680972818431</v>
      </c>
      <c r="J2" s="19">
        <v>122.7</v>
      </c>
      <c r="K2" s="19">
        <f>(J3/J2-1)*100</f>
        <v>-5.2159739201304012</v>
      </c>
      <c r="L2" s="78">
        <v>140.4</v>
      </c>
      <c r="M2" s="19">
        <f>(K3/K2-1)*100</f>
        <v>-149.45453568357703</v>
      </c>
      <c r="N2" s="86" t="str">
        <f>IF(B2&lt;2020, "Before", IF(B2=2020, "COVID", IF(B2&lt;=2022, "After", "After 2022")))</f>
        <v>Before</v>
      </c>
    </row>
    <row r="3" spans="1:14" x14ac:dyDescent="0.55000000000000004">
      <c r="A3" s="14" t="s">
        <v>33</v>
      </c>
      <c r="B3" s="19">
        <v>2018</v>
      </c>
      <c r="C3" s="19" t="s">
        <v>31</v>
      </c>
      <c r="D3" s="19">
        <v>1611.1000000000001</v>
      </c>
      <c r="E3" s="19">
        <f t="shared" si="0"/>
        <v>1.8372540500279255</v>
      </c>
      <c r="F3" s="19">
        <v>129</v>
      </c>
      <c r="G3" s="19">
        <f t="shared" ref="G3:G66" si="1">(F4/F3-1)*100</f>
        <v>3.3333333333333437</v>
      </c>
      <c r="H3" s="19">
        <v>129.5</v>
      </c>
      <c r="I3" s="19">
        <f t="shared" ref="I3:I66" si="2">(H4/H3-1)*100</f>
        <v>4.1698841698841749</v>
      </c>
      <c r="J3" s="19">
        <v>116.3</v>
      </c>
      <c r="K3" s="19">
        <f t="shared" ref="K3:K66" si="3">(J4/J3-1)*100</f>
        <v>2.5795356835769612</v>
      </c>
      <c r="L3" s="79">
        <v>140.4</v>
      </c>
      <c r="M3" s="19">
        <f t="shared" ref="M3:M66" si="4">(K4/K3-1)*100</f>
        <v>29.980441464095886</v>
      </c>
      <c r="N3" s="86" t="str">
        <f t="shared" ref="N3:N66" si="5">IF(B3&lt;2020, "Before", IF(B3=2020, "COVID", IF(B3&lt;=2022, "After", "After 2022")))</f>
        <v>Before</v>
      </c>
    </row>
    <row r="4" spans="1:14" x14ac:dyDescent="0.55000000000000004">
      <c r="A4" s="14" t="s">
        <v>34</v>
      </c>
      <c r="B4" s="19">
        <v>2018</v>
      </c>
      <c r="C4" s="19" t="s">
        <v>31</v>
      </c>
      <c r="D4" s="19">
        <v>1640.7</v>
      </c>
      <c r="E4" s="19">
        <f t="shared" si="0"/>
        <v>0.12799414883890581</v>
      </c>
      <c r="F4" s="19">
        <v>133.30000000000001</v>
      </c>
      <c r="G4" s="19">
        <f t="shared" si="1"/>
        <v>2.175543885971476</v>
      </c>
      <c r="H4" s="19">
        <v>134.9</v>
      </c>
      <c r="I4" s="19">
        <f t="shared" si="2"/>
        <v>3.706449221645669</v>
      </c>
      <c r="J4" s="19">
        <v>119.3</v>
      </c>
      <c r="K4" s="19">
        <f t="shared" si="3"/>
        <v>3.3528918692372178</v>
      </c>
      <c r="L4" s="78">
        <v>140.4</v>
      </c>
      <c r="M4" s="19">
        <f t="shared" si="4"/>
        <v>-242.7149229521489</v>
      </c>
      <c r="N4" s="86" t="str">
        <f t="shared" si="5"/>
        <v>Before</v>
      </c>
    </row>
    <row r="5" spans="1:14" x14ac:dyDescent="0.55000000000000004">
      <c r="A5" s="14" t="s">
        <v>30</v>
      </c>
      <c r="B5" s="19">
        <v>2018</v>
      </c>
      <c r="C5" s="19" t="s">
        <v>35</v>
      </c>
      <c r="D5" s="19">
        <v>1642.8</v>
      </c>
      <c r="E5" s="19">
        <f t="shared" si="0"/>
        <v>-3.074019965911845</v>
      </c>
      <c r="F5" s="19">
        <v>136.19999999999999</v>
      </c>
      <c r="G5" s="19">
        <f t="shared" si="1"/>
        <v>-4.6989720998531386</v>
      </c>
      <c r="H5" s="19">
        <v>139.9</v>
      </c>
      <c r="I5" s="19">
        <f t="shared" si="2"/>
        <v>-7.1479628305932792</v>
      </c>
      <c r="J5" s="19">
        <v>123.3</v>
      </c>
      <c r="K5" s="19">
        <f t="shared" si="3"/>
        <v>-4.7850770478507609</v>
      </c>
      <c r="L5" s="79">
        <v>141.30000000000001</v>
      </c>
      <c r="M5" s="19">
        <f t="shared" si="4"/>
        <v>-149.84263563653178</v>
      </c>
      <c r="N5" s="86" t="str">
        <f t="shared" si="5"/>
        <v>Before</v>
      </c>
    </row>
    <row r="6" spans="1:14" x14ac:dyDescent="0.55000000000000004">
      <c r="A6" s="14" t="s">
        <v>33</v>
      </c>
      <c r="B6" s="19">
        <v>2018</v>
      </c>
      <c r="C6" s="19" t="s">
        <v>35</v>
      </c>
      <c r="D6" s="19">
        <v>1592.3000000000002</v>
      </c>
      <c r="E6" s="19">
        <f t="shared" si="0"/>
        <v>1.9154681906675686</v>
      </c>
      <c r="F6" s="19">
        <v>129.80000000000001</v>
      </c>
      <c r="G6" s="19">
        <f t="shared" si="1"/>
        <v>3.0816640986132571</v>
      </c>
      <c r="H6" s="19">
        <v>129.9</v>
      </c>
      <c r="I6" s="19">
        <f t="shared" si="2"/>
        <v>4.0800615858352485</v>
      </c>
      <c r="J6" s="19">
        <v>117.4</v>
      </c>
      <c r="K6" s="19">
        <f t="shared" si="3"/>
        <v>2.3850085178875657</v>
      </c>
      <c r="L6" s="78">
        <v>141.30000000000001</v>
      </c>
      <c r="M6" s="19">
        <f t="shared" si="4"/>
        <v>53.482291419063202</v>
      </c>
      <c r="N6" s="86" t="str">
        <f t="shared" si="5"/>
        <v>Before</v>
      </c>
    </row>
    <row r="7" spans="1:14" x14ac:dyDescent="0.55000000000000004">
      <c r="A7" s="14" t="s">
        <v>34</v>
      </c>
      <c r="B7" s="19">
        <v>2018</v>
      </c>
      <c r="C7" s="19" t="s">
        <v>35</v>
      </c>
      <c r="D7" s="19">
        <v>1622.7999999999997</v>
      </c>
      <c r="E7" s="19">
        <f t="shared" si="0"/>
        <v>1.2694108947498339</v>
      </c>
      <c r="F7" s="19">
        <v>133.80000000000001</v>
      </c>
      <c r="G7" s="19">
        <f t="shared" si="1"/>
        <v>2.1674140508221029</v>
      </c>
      <c r="H7" s="19">
        <v>135.19999999999999</v>
      </c>
      <c r="I7" s="19">
        <f t="shared" si="2"/>
        <v>3.4763313609467605</v>
      </c>
      <c r="J7" s="19">
        <v>120.2</v>
      </c>
      <c r="K7" s="19">
        <f t="shared" si="3"/>
        <v>3.660565723793674</v>
      </c>
      <c r="L7" s="79">
        <v>141.30000000000001</v>
      </c>
      <c r="M7" s="19">
        <f t="shared" si="4"/>
        <v>-249.08799066102429</v>
      </c>
      <c r="N7" s="86" t="str">
        <f t="shared" si="5"/>
        <v>Before</v>
      </c>
    </row>
    <row r="8" spans="1:14" x14ac:dyDescent="0.55000000000000004">
      <c r="A8" s="14" t="s">
        <v>30</v>
      </c>
      <c r="B8" s="19">
        <v>2018</v>
      </c>
      <c r="C8" s="19" t="s">
        <v>36</v>
      </c>
      <c r="D8" s="19">
        <v>1643.3999999999999</v>
      </c>
      <c r="E8" s="19">
        <f t="shared" si="0"/>
        <v>-3.8152610441766988</v>
      </c>
      <c r="F8" s="19">
        <v>136.69999999999999</v>
      </c>
      <c r="G8" s="19">
        <f t="shared" si="1"/>
        <v>-4.5354791514264692</v>
      </c>
      <c r="H8" s="19">
        <v>139.9</v>
      </c>
      <c r="I8" s="19">
        <f t="shared" si="2"/>
        <v>-6.5046461758398788</v>
      </c>
      <c r="J8" s="19">
        <v>124.6</v>
      </c>
      <c r="K8" s="19">
        <f t="shared" si="3"/>
        <v>-5.4574638844301688</v>
      </c>
      <c r="L8" s="78">
        <v>142</v>
      </c>
      <c r="M8" s="19">
        <f t="shared" si="4"/>
        <v>-149.77529212024382</v>
      </c>
      <c r="N8" s="86" t="str">
        <f t="shared" si="5"/>
        <v>Before</v>
      </c>
    </row>
    <row r="9" spans="1:14" x14ac:dyDescent="0.55000000000000004">
      <c r="A9" s="14" t="s">
        <v>33</v>
      </c>
      <c r="B9" s="19">
        <v>2018</v>
      </c>
      <c r="C9" s="19" t="s">
        <v>36</v>
      </c>
      <c r="D9" s="19">
        <v>1580.7</v>
      </c>
      <c r="E9" s="19">
        <f t="shared" si="0"/>
        <v>2.4103245397608664</v>
      </c>
      <c r="F9" s="19">
        <v>130.5</v>
      </c>
      <c r="G9" s="19">
        <f t="shared" si="1"/>
        <v>2.911877394636031</v>
      </c>
      <c r="H9" s="19">
        <v>130.80000000000001</v>
      </c>
      <c r="I9" s="19">
        <f t="shared" si="2"/>
        <v>3.6697247706421798</v>
      </c>
      <c r="J9" s="19">
        <v>117.8</v>
      </c>
      <c r="K9" s="19">
        <f t="shared" si="3"/>
        <v>2.7164685908319219</v>
      </c>
      <c r="L9" s="79">
        <v>142</v>
      </c>
      <c r="M9" s="19">
        <f t="shared" si="4"/>
        <v>30.821280991735513</v>
      </c>
      <c r="N9" s="86" t="str">
        <f t="shared" si="5"/>
        <v>Before</v>
      </c>
    </row>
    <row r="10" spans="1:14" x14ac:dyDescent="0.55000000000000004">
      <c r="A10" s="14" t="s">
        <v>34</v>
      </c>
      <c r="B10" s="19">
        <v>2018</v>
      </c>
      <c r="C10" s="19" t="s">
        <v>36</v>
      </c>
      <c r="D10" s="19">
        <v>1618.8</v>
      </c>
      <c r="E10" s="19">
        <f t="shared" si="0"/>
        <v>1.396095873486547</v>
      </c>
      <c r="F10" s="19">
        <v>134.30000000000001</v>
      </c>
      <c r="G10" s="19">
        <f t="shared" si="1"/>
        <v>2.4571854058078824</v>
      </c>
      <c r="H10" s="19">
        <v>135.6</v>
      </c>
      <c r="I10" s="19">
        <f t="shared" si="2"/>
        <v>3.9085545722713944</v>
      </c>
      <c r="J10" s="19">
        <v>121</v>
      </c>
      <c r="K10" s="19">
        <f t="shared" si="3"/>
        <v>3.5537190082644665</v>
      </c>
      <c r="L10" s="78">
        <v>142</v>
      </c>
      <c r="M10" s="19">
        <f t="shared" si="4"/>
        <v>-243.72946788173459</v>
      </c>
      <c r="N10" s="86" t="str">
        <f t="shared" si="5"/>
        <v>Before</v>
      </c>
    </row>
    <row r="11" spans="1:14" x14ac:dyDescent="0.55000000000000004">
      <c r="A11" s="14" t="s">
        <v>30</v>
      </c>
      <c r="B11" s="19">
        <v>2018</v>
      </c>
      <c r="C11" s="19" t="s">
        <v>37</v>
      </c>
      <c r="D11" s="19">
        <v>1641.4</v>
      </c>
      <c r="E11" s="19">
        <f t="shared" si="0"/>
        <v>-3.4787376629706324</v>
      </c>
      <c r="F11" s="19">
        <v>137.6</v>
      </c>
      <c r="G11" s="19">
        <f t="shared" si="1"/>
        <v>-4.5784883720930143</v>
      </c>
      <c r="H11" s="19">
        <v>140.9</v>
      </c>
      <c r="I11" s="19">
        <f t="shared" si="2"/>
        <v>-6.4584811923349861</v>
      </c>
      <c r="J11" s="19">
        <v>125.3</v>
      </c>
      <c r="K11" s="19">
        <f t="shared" si="3"/>
        <v>-5.1077414205905729</v>
      </c>
      <c r="L11" s="79">
        <v>142.9</v>
      </c>
      <c r="M11" s="19">
        <f t="shared" si="4"/>
        <v>-149.39812867956277</v>
      </c>
      <c r="N11" s="86" t="str">
        <f t="shared" si="5"/>
        <v>Before</v>
      </c>
    </row>
    <row r="12" spans="1:14" x14ac:dyDescent="0.55000000000000004">
      <c r="A12" s="14" t="s">
        <v>33</v>
      </c>
      <c r="B12" s="19">
        <v>2018</v>
      </c>
      <c r="C12" s="19" t="s">
        <v>37</v>
      </c>
      <c r="D12" s="19">
        <v>1584.3000000000002</v>
      </c>
      <c r="E12" s="19">
        <f t="shared" si="0"/>
        <v>2.2281133623682337</v>
      </c>
      <c r="F12" s="19">
        <v>131.30000000000001</v>
      </c>
      <c r="G12" s="19">
        <f t="shared" si="1"/>
        <v>2.9702970297029507</v>
      </c>
      <c r="H12" s="19">
        <v>131.80000000000001</v>
      </c>
      <c r="I12" s="19">
        <f t="shared" si="2"/>
        <v>3.6418816388467334</v>
      </c>
      <c r="J12" s="19">
        <v>118.9</v>
      </c>
      <c r="K12" s="19">
        <f t="shared" si="3"/>
        <v>2.5231286795626584</v>
      </c>
      <c r="L12" s="78">
        <v>142.9</v>
      </c>
      <c r="M12" s="19">
        <f t="shared" si="4"/>
        <v>46.308449548810302</v>
      </c>
      <c r="N12" s="86" t="str">
        <f t="shared" si="5"/>
        <v>Before</v>
      </c>
    </row>
    <row r="13" spans="1:14" x14ac:dyDescent="0.55000000000000004">
      <c r="A13" s="14" t="s">
        <v>34</v>
      </c>
      <c r="B13" s="19">
        <v>2018</v>
      </c>
      <c r="C13" s="19" t="s">
        <v>37</v>
      </c>
      <c r="D13" s="19">
        <v>1619.6000000000001</v>
      </c>
      <c r="E13" s="19">
        <f t="shared" si="0"/>
        <v>1.4633242775994093</v>
      </c>
      <c r="F13" s="19">
        <v>135.19999999999999</v>
      </c>
      <c r="G13" s="19">
        <f t="shared" si="1"/>
        <v>2.3668639053254559</v>
      </c>
      <c r="H13" s="19">
        <v>136.6</v>
      </c>
      <c r="I13" s="19">
        <f t="shared" si="2"/>
        <v>3.8067349926793614</v>
      </c>
      <c r="J13" s="19">
        <v>121.9</v>
      </c>
      <c r="K13" s="19">
        <f t="shared" si="3"/>
        <v>3.6915504511894959</v>
      </c>
      <c r="L13" s="79">
        <v>142.9</v>
      </c>
      <c r="M13" s="19">
        <f t="shared" si="4"/>
        <v>-241.44514767932517</v>
      </c>
      <c r="N13" s="86" t="str">
        <f t="shared" si="5"/>
        <v>Before</v>
      </c>
    </row>
    <row r="14" spans="1:14" x14ac:dyDescent="0.55000000000000004">
      <c r="A14" s="14" t="s">
        <v>30</v>
      </c>
      <c r="B14" s="19">
        <v>2018</v>
      </c>
      <c r="C14" s="19" t="s">
        <v>38</v>
      </c>
      <c r="D14" s="19">
        <v>1643.3000000000002</v>
      </c>
      <c r="E14" s="19">
        <f t="shared" si="0"/>
        <v>-3.4564595630743211</v>
      </c>
      <c r="F14" s="19">
        <v>138.4</v>
      </c>
      <c r="G14" s="19">
        <f t="shared" si="1"/>
        <v>-4.6242774566474072</v>
      </c>
      <c r="H14" s="19">
        <v>141.80000000000001</v>
      </c>
      <c r="I14" s="19">
        <f t="shared" si="2"/>
        <v>-6.5585331452750477</v>
      </c>
      <c r="J14" s="19">
        <v>126.4</v>
      </c>
      <c r="K14" s="19">
        <f t="shared" si="3"/>
        <v>-5.2215189873417778</v>
      </c>
      <c r="L14" s="78">
        <v>143.19999999999999</v>
      </c>
      <c r="M14" s="19">
        <f t="shared" si="4"/>
        <v>-149.55734304649181</v>
      </c>
      <c r="N14" s="86" t="str">
        <f t="shared" si="5"/>
        <v>Before</v>
      </c>
    </row>
    <row r="15" spans="1:14" x14ac:dyDescent="0.55000000000000004">
      <c r="A15" s="14" t="s">
        <v>33</v>
      </c>
      <c r="B15" s="19">
        <v>2018</v>
      </c>
      <c r="C15" s="19" t="s">
        <v>38</v>
      </c>
      <c r="D15" s="19">
        <v>1586.4999999999998</v>
      </c>
      <c r="E15" s="19">
        <f t="shared" ref="E15:E78" si="6">(D16/D15-1)*100</f>
        <v>2.2187204538292038</v>
      </c>
      <c r="F15" s="19">
        <v>132</v>
      </c>
      <c r="G15" s="19">
        <f t="shared" si="1"/>
        <v>3.0303030303030276</v>
      </c>
      <c r="H15" s="19">
        <v>132.5</v>
      </c>
      <c r="I15" s="19">
        <f t="shared" si="2"/>
        <v>3.6981132075471823</v>
      </c>
      <c r="J15" s="19">
        <v>119.8</v>
      </c>
      <c r="K15" s="19">
        <f t="shared" si="3"/>
        <v>2.5876460767946696</v>
      </c>
      <c r="L15" s="79">
        <v>143.19999999999999</v>
      </c>
      <c r="M15" s="19">
        <f t="shared" si="4"/>
        <v>41.499776897031062</v>
      </c>
      <c r="N15" s="86" t="str">
        <f t="shared" si="5"/>
        <v>Before</v>
      </c>
    </row>
    <row r="16" spans="1:14" x14ac:dyDescent="0.55000000000000004">
      <c r="A16" s="14" t="s">
        <v>34</v>
      </c>
      <c r="B16" s="19">
        <v>2018</v>
      </c>
      <c r="C16" s="19" t="s">
        <v>38</v>
      </c>
      <c r="D16" s="19">
        <v>1621.7</v>
      </c>
      <c r="E16" s="19">
        <f t="shared" si="6"/>
        <v>1.7635814268976757</v>
      </c>
      <c r="F16" s="19">
        <v>136</v>
      </c>
      <c r="G16" s="19">
        <f t="shared" si="1"/>
        <v>1.7647058823529349</v>
      </c>
      <c r="H16" s="19">
        <v>137.4</v>
      </c>
      <c r="I16" s="19">
        <f t="shared" si="2"/>
        <v>3.4934497816593746</v>
      </c>
      <c r="J16" s="19">
        <v>122.9</v>
      </c>
      <c r="K16" s="19">
        <f t="shared" si="3"/>
        <v>3.6615134255492343</v>
      </c>
      <c r="L16" s="78">
        <v>143.19999999999999</v>
      </c>
      <c r="M16" s="19">
        <f t="shared" si="4"/>
        <v>-250.06105006104983</v>
      </c>
      <c r="N16" s="86" t="str">
        <f t="shared" si="5"/>
        <v>Before</v>
      </c>
    </row>
    <row r="17" spans="1:14" x14ac:dyDescent="0.55000000000000004">
      <c r="A17" s="14" t="s">
        <v>30</v>
      </c>
      <c r="B17" s="19">
        <v>2018</v>
      </c>
      <c r="C17" s="19" t="s">
        <v>39</v>
      </c>
      <c r="D17" s="19">
        <v>1650.2999999999997</v>
      </c>
      <c r="E17" s="19">
        <f t="shared" si="6"/>
        <v>-2.5086347936738584</v>
      </c>
      <c r="F17" s="19">
        <v>138.4</v>
      </c>
      <c r="G17" s="19">
        <f t="shared" si="1"/>
        <v>-4.1907514450867156</v>
      </c>
      <c r="H17" s="19">
        <v>142.19999999999999</v>
      </c>
      <c r="I17" s="19">
        <f t="shared" si="2"/>
        <v>-6.3994374120956321</v>
      </c>
      <c r="J17" s="19">
        <v>127.4</v>
      </c>
      <c r="K17" s="19">
        <f t="shared" si="3"/>
        <v>-5.4945054945054972</v>
      </c>
      <c r="L17" s="79">
        <v>142.5</v>
      </c>
      <c r="M17" s="19">
        <f t="shared" si="4"/>
        <v>-149.8837209302325</v>
      </c>
      <c r="N17" s="86" t="str">
        <f t="shared" si="5"/>
        <v>Before</v>
      </c>
    </row>
    <row r="18" spans="1:14" x14ac:dyDescent="0.55000000000000004">
      <c r="A18" s="14" t="s">
        <v>33</v>
      </c>
      <c r="B18" s="19">
        <v>2018</v>
      </c>
      <c r="C18" s="19" t="s">
        <v>39</v>
      </c>
      <c r="D18" s="19">
        <v>1608.9</v>
      </c>
      <c r="E18" s="19">
        <f t="shared" si="6"/>
        <v>1.6035800857728821</v>
      </c>
      <c r="F18" s="19">
        <v>132.6</v>
      </c>
      <c r="G18" s="19">
        <f t="shared" si="1"/>
        <v>2.7149321266968229</v>
      </c>
      <c r="H18" s="19">
        <v>133.1</v>
      </c>
      <c r="I18" s="19">
        <f t="shared" si="2"/>
        <v>3.6063110443275814</v>
      </c>
      <c r="J18" s="19">
        <v>120.4</v>
      </c>
      <c r="K18" s="19">
        <f t="shared" si="3"/>
        <v>2.7408637873754138</v>
      </c>
      <c r="L18" s="78">
        <v>142.5</v>
      </c>
      <c r="M18" s="19">
        <f t="shared" si="4"/>
        <v>12.079566889591087</v>
      </c>
      <c r="N18" s="86" t="str">
        <f t="shared" si="5"/>
        <v>Before</v>
      </c>
    </row>
    <row r="19" spans="1:14" x14ac:dyDescent="0.55000000000000004">
      <c r="A19" s="14" t="s">
        <v>34</v>
      </c>
      <c r="B19" s="19">
        <v>2018</v>
      </c>
      <c r="C19" s="19" t="s">
        <v>39</v>
      </c>
      <c r="D19" s="19">
        <v>1634.7</v>
      </c>
      <c r="E19" s="19">
        <f t="shared" si="6"/>
        <v>2.0676576741909924</v>
      </c>
      <c r="F19" s="19">
        <v>136.19999999999999</v>
      </c>
      <c r="G19" s="19">
        <f t="shared" si="1"/>
        <v>2.0558002936857722</v>
      </c>
      <c r="H19" s="19">
        <v>137.9</v>
      </c>
      <c r="I19" s="19">
        <f t="shared" si="2"/>
        <v>3.7708484408991882</v>
      </c>
      <c r="J19" s="19">
        <v>123.7</v>
      </c>
      <c r="K19" s="19">
        <f t="shared" si="3"/>
        <v>3.0719482619240068</v>
      </c>
      <c r="L19" s="79">
        <v>142.5</v>
      </c>
      <c r="M19" s="19">
        <f t="shared" si="4"/>
        <v>-288.93292053663606</v>
      </c>
      <c r="N19" s="86" t="str">
        <f t="shared" si="5"/>
        <v>Before</v>
      </c>
    </row>
    <row r="20" spans="1:14" x14ac:dyDescent="0.55000000000000004">
      <c r="A20" s="14" t="s">
        <v>30</v>
      </c>
      <c r="B20" s="19">
        <v>2018</v>
      </c>
      <c r="C20" s="19" t="s">
        <v>40</v>
      </c>
      <c r="D20" s="19">
        <v>1668.5000000000002</v>
      </c>
      <c r="E20" s="19">
        <f t="shared" si="6"/>
        <v>-2.2595145340126077</v>
      </c>
      <c r="F20" s="19">
        <v>139</v>
      </c>
      <c r="G20" s="19">
        <f t="shared" si="1"/>
        <v>-3.8848920863309377</v>
      </c>
      <c r="H20" s="19">
        <v>143.1</v>
      </c>
      <c r="I20" s="19">
        <f t="shared" si="2"/>
        <v>-6.6387141858839982</v>
      </c>
      <c r="J20" s="19">
        <v>127.5</v>
      </c>
      <c r="K20" s="19">
        <f t="shared" si="3"/>
        <v>-5.803921568627457</v>
      </c>
      <c r="L20" s="78">
        <v>143.6</v>
      </c>
      <c r="M20" s="19">
        <f t="shared" si="4"/>
        <v>-150.211535432185</v>
      </c>
      <c r="N20" s="86" t="str">
        <f t="shared" si="5"/>
        <v>Before</v>
      </c>
    </row>
    <row r="21" spans="1:14" x14ac:dyDescent="0.55000000000000004">
      <c r="A21" s="14" t="s">
        <v>33</v>
      </c>
      <c r="B21" s="19">
        <v>2018</v>
      </c>
      <c r="C21" s="19" t="s">
        <v>40</v>
      </c>
      <c r="D21" s="19">
        <v>1630.8</v>
      </c>
      <c r="E21" s="19">
        <f t="shared" si="6"/>
        <v>1.4164827078734232</v>
      </c>
      <c r="F21" s="19">
        <v>133.6</v>
      </c>
      <c r="G21" s="19">
        <f t="shared" si="1"/>
        <v>2.5449101796407136</v>
      </c>
      <c r="H21" s="19">
        <v>133.6</v>
      </c>
      <c r="I21" s="19">
        <f t="shared" si="2"/>
        <v>3.7425149700598848</v>
      </c>
      <c r="J21" s="19">
        <v>120.1</v>
      </c>
      <c r="K21" s="19">
        <f t="shared" si="3"/>
        <v>2.9142381348876034</v>
      </c>
      <c r="L21" s="79">
        <v>143.6</v>
      </c>
      <c r="M21" s="19">
        <f t="shared" si="4"/>
        <v>30.483125288950919</v>
      </c>
      <c r="N21" s="86" t="str">
        <f t="shared" si="5"/>
        <v>Before</v>
      </c>
    </row>
    <row r="22" spans="1:14" x14ac:dyDescent="0.55000000000000004">
      <c r="A22" s="14" t="s">
        <v>34</v>
      </c>
      <c r="B22" s="19">
        <v>2018</v>
      </c>
      <c r="C22" s="19" t="s">
        <v>40</v>
      </c>
      <c r="D22" s="19">
        <v>1653.8999999999999</v>
      </c>
      <c r="E22" s="19">
        <f t="shared" si="6"/>
        <v>1.3422818791946289</v>
      </c>
      <c r="F22" s="19">
        <v>137</v>
      </c>
      <c r="G22" s="19">
        <f t="shared" si="1"/>
        <v>1.7518248175182549</v>
      </c>
      <c r="H22" s="19">
        <v>138.6</v>
      </c>
      <c r="I22" s="19">
        <f t="shared" si="2"/>
        <v>3.7518037518037728</v>
      </c>
      <c r="J22" s="19">
        <v>123.6</v>
      </c>
      <c r="K22" s="19">
        <f t="shared" si="3"/>
        <v>3.8025889967637783</v>
      </c>
      <c r="L22" s="78">
        <v>143.6</v>
      </c>
      <c r="M22" s="19">
        <f t="shared" si="4"/>
        <v>-255.77851113580118</v>
      </c>
      <c r="N22" s="86" t="str">
        <f t="shared" si="5"/>
        <v>Before</v>
      </c>
    </row>
    <row r="23" spans="1:14" x14ac:dyDescent="0.55000000000000004">
      <c r="A23" s="14" t="s">
        <v>30</v>
      </c>
      <c r="B23" s="19">
        <v>2018</v>
      </c>
      <c r="C23" s="19" t="s">
        <v>41</v>
      </c>
      <c r="D23" s="19">
        <v>1676.1</v>
      </c>
      <c r="E23" s="19">
        <f t="shared" si="6"/>
        <v>-2.8995883300519054</v>
      </c>
      <c r="F23" s="19">
        <v>139.4</v>
      </c>
      <c r="G23" s="19">
        <f t="shared" si="1"/>
        <v>-3.2281205164992777</v>
      </c>
      <c r="H23" s="19">
        <v>143.80000000000001</v>
      </c>
      <c r="I23" s="19">
        <f t="shared" si="2"/>
        <v>-6.5368567454798354</v>
      </c>
      <c r="J23" s="19">
        <v>128.30000000000001</v>
      </c>
      <c r="K23" s="19">
        <f t="shared" si="3"/>
        <v>-5.923616523772413</v>
      </c>
      <c r="L23" s="79">
        <v>144.6</v>
      </c>
      <c r="M23" s="19">
        <f t="shared" si="4"/>
        <v>-150.3510225439322</v>
      </c>
      <c r="N23" s="86" t="str">
        <f t="shared" si="5"/>
        <v>Before</v>
      </c>
    </row>
    <row r="24" spans="1:14" x14ac:dyDescent="0.55000000000000004">
      <c r="A24" s="14" t="s">
        <v>33</v>
      </c>
      <c r="B24" s="19">
        <v>2018</v>
      </c>
      <c r="C24" s="19" t="s">
        <v>41</v>
      </c>
      <c r="D24" s="19">
        <v>1627.5</v>
      </c>
      <c r="E24" s="19">
        <f t="shared" si="6"/>
        <v>1.8125960061444069</v>
      </c>
      <c r="F24" s="19">
        <v>134.9</v>
      </c>
      <c r="G24" s="19">
        <f t="shared" si="1"/>
        <v>2.0756115641215489</v>
      </c>
      <c r="H24" s="19">
        <v>134.4</v>
      </c>
      <c r="I24" s="19">
        <f t="shared" si="2"/>
        <v>3.7202380952380931</v>
      </c>
      <c r="J24" s="19">
        <v>120.7</v>
      </c>
      <c r="K24" s="19">
        <f t="shared" si="3"/>
        <v>2.9826014913007404</v>
      </c>
      <c r="L24" s="78">
        <v>144.6</v>
      </c>
      <c r="M24" s="19">
        <f t="shared" si="4"/>
        <v>51.050326271565716</v>
      </c>
      <c r="N24" s="86" t="str">
        <f t="shared" si="5"/>
        <v>Before</v>
      </c>
    </row>
    <row r="25" spans="1:14" x14ac:dyDescent="0.55000000000000004">
      <c r="A25" s="14" t="s">
        <v>34</v>
      </c>
      <c r="B25" s="19">
        <v>2018</v>
      </c>
      <c r="C25" s="19" t="s">
        <v>41</v>
      </c>
      <c r="D25" s="19">
        <v>1657.0000000000002</v>
      </c>
      <c r="E25" s="19">
        <f t="shared" si="6"/>
        <v>9.0525045262523918E-2</v>
      </c>
      <c r="F25" s="19">
        <v>137.69999999999999</v>
      </c>
      <c r="G25" s="19">
        <f t="shared" si="1"/>
        <v>1.6702977487291326</v>
      </c>
      <c r="H25" s="19">
        <v>139.4</v>
      </c>
      <c r="I25" s="19">
        <f t="shared" si="2"/>
        <v>3.2998565279770409</v>
      </c>
      <c r="J25" s="19">
        <v>124.3</v>
      </c>
      <c r="K25" s="19">
        <f t="shared" si="3"/>
        <v>4.5052292839903529</v>
      </c>
      <c r="L25" s="79">
        <v>144.6</v>
      </c>
      <c r="M25" s="19">
        <f t="shared" si="4"/>
        <v>-226.44616738150205</v>
      </c>
      <c r="N25" s="86" t="str">
        <f t="shared" si="5"/>
        <v>Before</v>
      </c>
    </row>
    <row r="26" spans="1:14" x14ac:dyDescent="0.55000000000000004">
      <c r="A26" s="14" t="s">
        <v>30</v>
      </c>
      <c r="B26" s="19">
        <v>2018</v>
      </c>
      <c r="C26" s="19" t="s">
        <v>42</v>
      </c>
      <c r="D26" s="19">
        <v>1658.5000000000002</v>
      </c>
      <c r="E26" s="19">
        <f t="shared" si="6"/>
        <v>-2.9544769369912682</v>
      </c>
      <c r="F26" s="19">
        <v>140</v>
      </c>
      <c r="G26" s="19">
        <f t="shared" si="1"/>
        <v>-3.0714285714285805</v>
      </c>
      <c r="H26" s="19">
        <v>144</v>
      </c>
      <c r="I26" s="19">
        <f t="shared" si="2"/>
        <v>-6.3194444444444446</v>
      </c>
      <c r="J26" s="19">
        <v>129.9</v>
      </c>
      <c r="K26" s="19">
        <f t="shared" si="3"/>
        <v>-5.6966897613548895</v>
      </c>
      <c r="L26" s="78">
        <v>145.30000000000001</v>
      </c>
      <c r="M26" s="19">
        <f t="shared" si="4"/>
        <v>-150.15444015443998</v>
      </c>
      <c r="N26" s="86" t="str">
        <f t="shared" si="5"/>
        <v>Before</v>
      </c>
    </row>
    <row r="27" spans="1:14" x14ac:dyDescent="0.55000000000000004">
      <c r="A27" s="14" t="s">
        <v>33</v>
      </c>
      <c r="B27" s="19">
        <v>2018</v>
      </c>
      <c r="C27" s="19" t="s">
        <v>42</v>
      </c>
      <c r="D27" s="19">
        <v>1609.5</v>
      </c>
      <c r="E27" s="19">
        <f t="shared" si="6"/>
        <v>1.8390804597701038</v>
      </c>
      <c r="F27" s="19">
        <v>135.69999999999999</v>
      </c>
      <c r="G27" s="19">
        <f t="shared" si="1"/>
        <v>1.9896831245394431</v>
      </c>
      <c r="H27" s="19">
        <v>134.9</v>
      </c>
      <c r="I27" s="19">
        <f t="shared" si="2"/>
        <v>3.5581912527798298</v>
      </c>
      <c r="J27" s="19">
        <v>122.5</v>
      </c>
      <c r="K27" s="19">
        <f t="shared" si="3"/>
        <v>2.857142857142847</v>
      </c>
      <c r="L27" s="79">
        <v>145.30000000000001</v>
      </c>
      <c r="M27" s="19">
        <f t="shared" si="4"/>
        <v>33.333333333334103</v>
      </c>
      <c r="N27" s="86" t="str">
        <f t="shared" si="5"/>
        <v>Before</v>
      </c>
    </row>
    <row r="28" spans="1:14" x14ac:dyDescent="0.55000000000000004">
      <c r="A28" s="14" t="s">
        <v>34</v>
      </c>
      <c r="B28" s="19">
        <v>2018</v>
      </c>
      <c r="C28" s="19" t="s">
        <v>42</v>
      </c>
      <c r="D28" s="19">
        <v>1639.1</v>
      </c>
      <c r="E28" s="19">
        <f t="shared" si="6"/>
        <v>0.17692636202795153</v>
      </c>
      <c r="F28" s="19">
        <v>138.4</v>
      </c>
      <c r="G28" s="19">
        <f t="shared" si="1"/>
        <v>4.6242774566473965</v>
      </c>
      <c r="H28" s="19">
        <v>139.69999999999999</v>
      </c>
      <c r="I28" s="19">
        <f t="shared" si="2"/>
        <v>5.5833929849677943</v>
      </c>
      <c r="J28" s="19">
        <v>126</v>
      </c>
      <c r="K28" s="19">
        <f t="shared" si="3"/>
        <v>3.8095238095238182</v>
      </c>
      <c r="L28" s="78">
        <v>145.30000000000001</v>
      </c>
      <c r="M28" s="19">
        <f t="shared" si="4"/>
        <v>-250.51605504587161</v>
      </c>
      <c r="N28" s="86" t="str">
        <f t="shared" si="5"/>
        <v>Before</v>
      </c>
    </row>
    <row r="29" spans="1:14" x14ac:dyDescent="0.55000000000000004">
      <c r="A29" s="14" t="s">
        <v>30</v>
      </c>
      <c r="B29" s="19">
        <v>2018</v>
      </c>
      <c r="C29" s="19" t="s">
        <v>43</v>
      </c>
      <c r="D29" s="19">
        <v>1642</v>
      </c>
      <c r="E29" s="19">
        <f t="shared" si="6"/>
        <v>-1.6626065773447163</v>
      </c>
      <c r="F29" s="19">
        <v>144.80000000000001</v>
      </c>
      <c r="G29" s="19">
        <f t="shared" si="1"/>
        <v>-5.9392265193370264</v>
      </c>
      <c r="H29" s="19">
        <v>147.5</v>
      </c>
      <c r="I29" s="19">
        <f t="shared" si="2"/>
        <v>-8.4067796610169498</v>
      </c>
      <c r="J29" s="19">
        <v>130.80000000000001</v>
      </c>
      <c r="K29" s="19">
        <f t="shared" si="3"/>
        <v>-5.7339449541284555</v>
      </c>
      <c r="L29" s="79">
        <v>146.30000000000001</v>
      </c>
      <c r="M29" s="19">
        <f t="shared" si="4"/>
        <v>-131.11759935117612</v>
      </c>
      <c r="N29" s="86" t="str">
        <f t="shared" si="5"/>
        <v>Before</v>
      </c>
    </row>
    <row r="30" spans="1:14" x14ac:dyDescent="0.55000000000000004">
      <c r="A30" s="14" t="s">
        <v>33</v>
      </c>
      <c r="B30" s="19">
        <v>2018</v>
      </c>
      <c r="C30" s="19" t="s">
        <v>43</v>
      </c>
      <c r="D30" s="19">
        <v>1614.6999999999998</v>
      </c>
      <c r="E30" s="19">
        <f t="shared" si="6"/>
        <v>1.3500959930637491</v>
      </c>
      <c r="F30" s="19">
        <v>136.19999999999999</v>
      </c>
      <c r="G30" s="19">
        <f t="shared" si="1"/>
        <v>4.3318649045521296</v>
      </c>
      <c r="H30" s="19">
        <v>135.1</v>
      </c>
      <c r="I30" s="19">
        <f t="shared" si="2"/>
        <v>5.2553663952627616</v>
      </c>
      <c r="J30" s="19">
        <v>123.3</v>
      </c>
      <c r="K30" s="19">
        <f t="shared" si="3"/>
        <v>1.7842660178426728</v>
      </c>
      <c r="L30" s="78">
        <v>146.60000000000002</v>
      </c>
      <c r="M30" s="19">
        <f t="shared" si="4"/>
        <v>114.35711698659836</v>
      </c>
      <c r="N30" s="86" t="str">
        <f t="shared" si="5"/>
        <v>Before</v>
      </c>
    </row>
    <row r="31" spans="1:14" x14ac:dyDescent="0.55000000000000004">
      <c r="A31" s="14" t="s">
        <v>34</v>
      </c>
      <c r="B31" s="19">
        <v>2018</v>
      </c>
      <c r="C31" s="19" t="s">
        <v>43</v>
      </c>
      <c r="D31" s="19">
        <v>1636.5</v>
      </c>
      <c r="E31" s="19">
        <f t="shared" si="6"/>
        <v>0.6721662083714941</v>
      </c>
      <c r="F31" s="19">
        <v>142.1</v>
      </c>
      <c r="G31" s="19">
        <f t="shared" si="1"/>
        <v>2.3223082336382816</v>
      </c>
      <c r="H31" s="19">
        <v>142.19999999999999</v>
      </c>
      <c r="I31" s="19">
        <f t="shared" si="2"/>
        <v>4.0787623066104173</v>
      </c>
      <c r="J31" s="19">
        <v>125.5</v>
      </c>
      <c r="K31" s="19">
        <f t="shared" si="3"/>
        <v>3.8247011952191379</v>
      </c>
      <c r="L31" s="79">
        <v>146.9</v>
      </c>
      <c r="M31" s="19">
        <f t="shared" si="4"/>
        <v>-282.5994499872084</v>
      </c>
      <c r="N31" s="86" t="str">
        <f t="shared" si="5"/>
        <v>Before</v>
      </c>
    </row>
    <row r="32" spans="1:14" x14ac:dyDescent="0.55000000000000004">
      <c r="A32" s="14" t="s">
        <v>30</v>
      </c>
      <c r="B32" s="19">
        <v>2018</v>
      </c>
      <c r="C32" s="19" t="s">
        <v>45</v>
      </c>
      <c r="D32" s="19">
        <v>1647.4999999999995</v>
      </c>
      <c r="E32" s="19">
        <f t="shared" si="6"/>
        <v>-1.7663125948406466</v>
      </c>
      <c r="F32" s="19">
        <v>145.4</v>
      </c>
      <c r="G32" s="19">
        <f t="shared" si="1"/>
        <v>-5.9147180192572151</v>
      </c>
      <c r="H32" s="19">
        <v>148</v>
      </c>
      <c r="I32" s="19">
        <f t="shared" si="2"/>
        <v>-8.2432432432432368</v>
      </c>
      <c r="J32" s="19">
        <v>130.30000000000001</v>
      </c>
      <c r="K32" s="19">
        <f t="shared" si="3"/>
        <v>-6.9838833461243315</v>
      </c>
      <c r="L32" s="78">
        <v>146.9</v>
      </c>
      <c r="M32" s="19">
        <f t="shared" si="4"/>
        <v>-150.80060203822572</v>
      </c>
      <c r="N32" s="86" t="str">
        <f t="shared" si="5"/>
        <v>Before</v>
      </c>
    </row>
    <row r="33" spans="1:14" x14ac:dyDescent="0.55000000000000004">
      <c r="A33" s="14" t="s">
        <v>33</v>
      </c>
      <c r="B33" s="19">
        <v>2018</v>
      </c>
      <c r="C33" s="19" t="s">
        <v>45</v>
      </c>
      <c r="D33" s="19">
        <v>1618.3999999999999</v>
      </c>
      <c r="E33" s="19">
        <f t="shared" si="6"/>
        <v>1.0874938210578611</v>
      </c>
      <c r="F33" s="19">
        <v>136.80000000000001</v>
      </c>
      <c r="G33" s="19">
        <f t="shared" si="1"/>
        <v>3.8742690058479301</v>
      </c>
      <c r="H33" s="19">
        <v>135.80000000000001</v>
      </c>
      <c r="I33" s="19">
        <f t="shared" si="2"/>
        <v>4.7128129602356239</v>
      </c>
      <c r="J33" s="19">
        <v>121.2</v>
      </c>
      <c r="K33" s="19">
        <f t="shared" si="3"/>
        <v>3.5478547854785436</v>
      </c>
      <c r="L33" s="79">
        <v>146.9</v>
      </c>
      <c r="M33" s="19">
        <f t="shared" si="4"/>
        <v>-23.639395904752803</v>
      </c>
      <c r="N33" s="86" t="str">
        <f t="shared" si="5"/>
        <v>Before</v>
      </c>
    </row>
    <row r="34" spans="1:14" x14ac:dyDescent="0.55000000000000004">
      <c r="A34" s="14" t="s">
        <v>34</v>
      </c>
      <c r="B34" s="19">
        <v>2018</v>
      </c>
      <c r="C34" s="19" t="s">
        <v>45</v>
      </c>
      <c r="D34" s="19">
        <v>1636.0000000000002</v>
      </c>
      <c r="E34" s="19">
        <f t="shared" si="6"/>
        <v>-8.5574572127145032E-2</v>
      </c>
      <c r="F34" s="19">
        <v>142.1</v>
      </c>
      <c r="G34" s="19">
        <f t="shared" si="1"/>
        <v>5.2779732582688199</v>
      </c>
      <c r="H34" s="19">
        <v>142.19999999999999</v>
      </c>
      <c r="I34" s="19">
        <f t="shared" si="2"/>
        <v>5.133614627285521</v>
      </c>
      <c r="J34" s="19">
        <v>125.5</v>
      </c>
      <c r="K34" s="19">
        <f t="shared" si="3"/>
        <v>2.7091633466135523</v>
      </c>
      <c r="L34" s="78">
        <v>146.9</v>
      </c>
      <c r="M34" s="19">
        <f t="shared" si="4"/>
        <v>-389.22329210970594</v>
      </c>
      <c r="N34" s="86" t="str">
        <f t="shared" si="5"/>
        <v>Before</v>
      </c>
    </row>
    <row r="35" spans="1:14" x14ac:dyDescent="0.55000000000000004">
      <c r="A35" s="14" t="s">
        <v>30</v>
      </c>
      <c r="B35" s="19">
        <v>2018</v>
      </c>
      <c r="C35" s="19" t="s">
        <v>46</v>
      </c>
      <c r="D35" s="19">
        <v>1634.6000000000001</v>
      </c>
      <c r="E35" s="19">
        <f t="shared" si="6"/>
        <v>-1.5661323871283606</v>
      </c>
      <c r="F35" s="19">
        <v>149.6</v>
      </c>
      <c r="G35" s="19">
        <f t="shared" si="1"/>
        <v>-8.2219251336898331</v>
      </c>
      <c r="H35" s="19">
        <v>149.5</v>
      </c>
      <c r="I35" s="19">
        <f t="shared" si="2"/>
        <v>-8.8963210702341264</v>
      </c>
      <c r="J35" s="19">
        <v>128.9</v>
      </c>
      <c r="K35" s="19">
        <f t="shared" si="3"/>
        <v>-7.8355314197052</v>
      </c>
      <c r="L35" s="79">
        <v>146.5</v>
      </c>
      <c r="M35" s="19">
        <f t="shared" si="4"/>
        <v>-151.56515651565158</v>
      </c>
      <c r="N35" s="86" t="str">
        <f t="shared" si="5"/>
        <v>Before</v>
      </c>
    </row>
    <row r="36" spans="1:14" x14ac:dyDescent="0.55000000000000004">
      <c r="A36" s="14" t="s">
        <v>33</v>
      </c>
      <c r="B36" s="19">
        <v>2018</v>
      </c>
      <c r="C36" s="19" t="s">
        <v>46</v>
      </c>
      <c r="D36" s="19">
        <v>1609</v>
      </c>
      <c r="E36" s="19">
        <f t="shared" si="6"/>
        <v>0.96954630205094983</v>
      </c>
      <c r="F36" s="19">
        <v>137.30000000000001</v>
      </c>
      <c r="G36" s="19">
        <f t="shared" si="1"/>
        <v>5.5353241077931381</v>
      </c>
      <c r="H36" s="19">
        <v>136.19999999999999</v>
      </c>
      <c r="I36" s="19">
        <f t="shared" si="2"/>
        <v>5.1395007342143861</v>
      </c>
      <c r="J36" s="19">
        <v>118.8</v>
      </c>
      <c r="K36" s="19">
        <f t="shared" si="3"/>
        <v>4.0404040404040442</v>
      </c>
      <c r="L36" s="78">
        <v>146.5</v>
      </c>
      <c r="M36" s="19">
        <f t="shared" si="4"/>
        <v>0.12135922330065441</v>
      </c>
      <c r="N36" s="86" t="str">
        <f t="shared" si="5"/>
        <v>Before</v>
      </c>
    </row>
    <row r="37" spans="1:14" x14ac:dyDescent="0.55000000000000004">
      <c r="A37" s="14" t="s">
        <v>34</v>
      </c>
      <c r="B37" s="19">
        <v>2018</v>
      </c>
      <c r="C37" s="19" t="s">
        <v>46</v>
      </c>
      <c r="D37" s="19">
        <v>1624.5999999999997</v>
      </c>
      <c r="E37" s="19">
        <f t="shared" si="6"/>
        <v>-0.14772867167300863</v>
      </c>
      <c r="F37" s="19">
        <v>144.9</v>
      </c>
      <c r="G37" s="19">
        <f t="shared" si="1"/>
        <v>3.2436162870945306</v>
      </c>
      <c r="H37" s="19">
        <v>143.19999999999999</v>
      </c>
      <c r="I37" s="19">
        <f t="shared" si="2"/>
        <v>4.8184357541899425</v>
      </c>
      <c r="J37" s="19">
        <v>123.6</v>
      </c>
      <c r="K37" s="19">
        <f t="shared" si="3"/>
        <v>4.0453074433656866</v>
      </c>
      <c r="L37" s="79">
        <v>146.5</v>
      </c>
      <c r="M37" s="19">
        <f t="shared" si="4"/>
        <v>-292.22395023328193</v>
      </c>
      <c r="N37" s="86" t="str">
        <f t="shared" si="5"/>
        <v>Before</v>
      </c>
    </row>
    <row r="38" spans="1:14" x14ac:dyDescent="0.55000000000000004">
      <c r="A38" s="14" t="s">
        <v>30</v>
      </c>
      <c r="B38" s="19">
        <v>2019</v>
      </c>
      <c r="C38" s="19" t="s">
        <v>31</v>
      </c>
      <c r="D38" s="19">
        <v>1622.2</v>
      </c>
      <c r="E38" s="19">
        <f t="shared" si="6"/>
        <v>-0.93699913697447013</v>
      </c>
      <c r="F38" s="19">
        <v>149.6</v>
      </c>
      <c r="G38" s="19">
        <f t="shared" si="1"/>
        <v>-7.887700534759345</v>
      </c>
      <c r="H38" s="19">
        <v>150.1</v>
      </c>
      <c r="I38" s="19">
        <f t="shared" si="2"/>
        <v>-9.193870752831435</v>
      </c>
      <c r="J38" s="19">
        <v>128.6</v>
      </c>
      <c r="K38" s="19">
        <f t="shared" si="3"/>
        <v>-7.7760497667185069</v>
      </c>
      <c r="L38" s="78">
        <v>147.69999999999999</v>
      </c>
      <c r="M38" s="19">
        <f t="shared" si="4"/>
        <v>-150.9629005059023</v>
      </c>
      <c r="N38" s="86" t="str">
        <f t="shared" si="5"/>
        <v>Before</v>
      </c>
    </row>
    <row r="39" spans="1:14" x14ac:dyDescent="0.55000000000000004">
      <c r="A39" s="14" t="s">
        <v>33</v>
      </c>
      <c r="B39" s="19">
        <v>2019</v>
      </c>
      <c r="C39" s="19" t="s">
        <v>31</v>
      </c>
      <c r="D39" s="19">
        <v>1607.0000000000002</v>
      </c>
      <c r="E39" s="19">
        <f t="shared" si="6"/>
        <v>0.56004978220283164</v>
      </c>
      <c r="F39" s="19">
        <v>137.80000000000001</v>
      </c>
      <c r="G39" s="19">
        <f t="shared" si="1"/>
        <v>5.2975326560232183</v>
      </c>
      <c r="H39" s="19">
        <v>136.30000000000001</v>
      </c>
      <c r="I39" s="19">
        <f t="shared" si="2"/>
        <v>5.3558327219368929</v>
      </c>
      <c r="J39" s="19">
        <v>118.6</v>
      </c>
      <c r="K39" s="19">
        <f t="shared" si="3"/>
        <v>3.9629005059022004</v>
      </c>
      <c r="L39" s="79">
        <v>147.69999999999999</v>
      </c>
      <c r="M39" s="19">
        <f t="shared" si="4"/>
        <v>20.746837845765764</v>
      </c>
      <c r="N39" s="86" t="str">
        <f t="shared" si="5"/>
        <v>Before</v>
      </c>
    </row>
    <row r="40" spans="1:14" x14ac:dyDescent="0.55000000000000004">
      <c r="A40" s="14" t="s">
        <v>34</v>
      </c>
      <c r="B40" s="19">
        <v>2019</v>
      </c>
      <c r="C40" s="19" t="s">
        <v>31</v>
      </c>
      <c r="D40" s="19">
        <v>1615.9999999999998</v>
      </c>
      <c r="E40" s="19">
        <f t="shared" si="6"/>
        <v>0.40841584158417543</v>
      </c>
      <c r="F40" s="19">
        <v>145.1</v>
      </c>
      <c r="G40" s="19">
        <f t="shared" si="1"/>
        <v>3.308063404548589</v>
      </c>
      <c r="H40" s="19">
        <v>143.6</v>
      </c>
      <c r="I40" s="19">
        <f t="shared" si="2"/>
        <v>4.5264623955431738</v>
      </c>
      <c r="J40" s="19">
        <v>123.3</v>
      </c>
      <c r="K40" s="19">
        <f t="shared" si="3"/>
        <v>4.7850770478507609</v>
      </c>
      <c r="L40" s="78">
        <v>147.69999999999999</v>
      </c>
      <c r="M40" s="19">
        <f t="shared" si="4"/>
        <v>-261.75158734323355</v>
      </c>
      <c r="N40" s="86" t="str">
        <f t="shared" si="5"/>
        <v>Before</v>
      </c>
    </row>
    <row r="41" spans="1:14" x14ac:dyDescent="0.55000000000000004">
      <c r="A41" s="14" t="s">
        <v>30</v>
      </c>
      <c r="B41" s="19">
        <v>2019</v>
      </c>
      <c r="C41" s="19" t="s">
        <v>35</v>
      </c>
      <c r="D41" s="19">
        <v>1622.6000000000001</v>
      </c>
      <c r="E41" s="19">
        <f t="shared" si="6"/>
        <v>-0.38210279797855629</v>
      </c>
      <c r="F41" s="19">
        <v>149.9</v>
      </c>
      <c r="G41" s="19">
        <f t="shared" si="1"/>
        <v>-7.6050700466978043</v>
      </c>
      <c r="H41" s="19">
        <v>150.1</v>
      </c>
      <c r="I41" s="19">
        <f t="shared" si="2"/>
        <v>-8.9940039973351098</v>
      </c>
      <c r="J41" s="19">
        <v>129.19999999999999</v>
      </c>
      <c r="K41" s="19">
        <f t="shared" si="3"/>
        <v>-7.7399380804953459</v>
      </c>
      <c r="L41" s="79">
        <v>148.5</v>
      </c>
      <c r="M41" s="19">
        <f t="shared" si="4"/>
        <v>-150.94295302013435</v>
      </c>
      <c r="N41" s="86" t="str">
        <f t="shared" si="5"/>
        <v>Before</v>
      </c>
    </row>
    <row r="42" spans="1:14" x14ac:dyDescent="0.55000000000000004">
      <c r="A42" s="14" t="s">
        <v>33</v>
      </c>
      <c r="B42" s="19">
        <v>2019</v>
      </c>
      <c r="C42" s="19" t="s">
        <v>35</v>
      </c>
      <c r="D42" s="19">
        <v>1616.4</v>
      </c>
      <c r="E42" s="19">
        <f t="shared" si="6"/>
        <v>0.19797079930710115</v>
      </c>
      <c r="F42" s="19">
        <v>138.5</v>
      </c>
      <c r="G42" s="19">
        <f t="shared" si="1"/>
        <v>5.1263537906137246</v>
      </c>
      <c r="H42" s="19">
        <v>136.6</v>
      </c>
      <c r="I42" s="19">
        <f t="shared" si="2"/>
        <v>5.1976573938506521</v>
      </c>
      <c r="J42" s="19">
        <v>119.2</v>
      </c>
      <c r="K42" s="19">
        <f t="shared" si="3"/>
        <v>3.9429530201342322</v>
      </c>
      <c r="L42" s="78">
        <v>148.5</v>
      </c>
      <c r="M42" s="19">
        <f t="shared" si="4"/>
        <v>22.816959455978591</v>
      </c>
      <c r="N42" s="86" t="str">
        <f t="shared" si="5"/>
        <v>Before</v>
      </c>
    </row>
    <row r="43" spans="1:14" x14ac:dyDescent="0.55000000000000004">
      <c r="A43" s="14" t="s">
        <v>34</v>
      </c>
      <c r="B43" s="19">
        <v>2019</v>
      </c>
      <c r="C43" s="19" t="s">
        <v>35</v>
      </c>
      <c r="D43" s="19">
        <v>1619.6</v>
      </c>
      <c r="E43" s="19">
        <f t="shared" si="6"/>
        <v>0.26549765374168643</v>
      </c>
      <c r="F43" s="19">
        <v>145.6</v>
      </c>
      <c r="G43" s="19">
        <f t="shared" si="1"/>
        <v>3.2967032967033072</v>
      </c>
      <c r="H43" s="19">
        <v>143.69999999999999</v>
      </c>
      <c r="I43" s="19">
        <f t="shared" si="2"/>
        <v>4.3841336116910323</v>
      </c>
      <c r="J43" s="19">
        <v>123.9</v>
      </c>
      <c r="K43" s="19">
        <f t="shared" si="3"/>
        <v>4.8426150121065437</v>
      </c>
      <c r="L43" s="79">
        <v>148.5</v>
      </c>
      <c r="M43" s="19">
        <f t="shared" si="4"/>
        <v>-258.96843725943012</v>
      </c>
      <c r="N43" s="86" t="str">
        <f t="shared" si="5"/>
        <v>Before</v>
      </c>
    </row>
    <row r="44" spans="1:14" x14ac:dyDescent="0.55000000000000004">
      <c r="A44" s="14" t="s">
        <v>30</v>
      </c>
      <c r="B44" s="19">
        <v>2019</v>
      </c>
      <c r="C44" s="19" t="s">
        <v>36</v>
      </c>
      <c r="D44" s="19">
        <v>1623.9000000000003</v>
      </c>
      <c r="E44" s="19">
        <f t="shared" si="6"/>
        <v>0.3017427181476684</v>
      </c>
      <c r="F44" s="19">
        <v>150.4</v>
      </c>
      <c r="G44" s="19">
        <f t="shared" si="1"/>
        <v>-7.4468085106383146</v>
      </c>
      <c r="H44" s="19">
        <v>150</v>
      </c>
      <c r="I44" s="19">
        <f t="shared" si="2"/>
        <v>-8.7999999999999972</v>
      </c>
      <c r="J44" s="19">
        <v>129.9</v>
      </c>
      <c r="K44" s="19">
        <f t="shared" si="3"/>
        <v>-7.6982294072363349</v>
      </c>
      <c r="L44" s="78">
        <v>149</v>
      </c>
      <c r="M44" s="19">
        <f t="shared" si="4"/>
        <v>-150.91993327773133</v>
      </c>
      <c r="N44" s="86" t="str">
        <f t="shared" si="5"/>
        <v>Before</v>
      </c>
    </row>
    <row r="45" spans="1:14" x14ac:dyDescent="0.55000000000000004">
      <c r="A45" s="14" t="s">
        <v>33</v>
      </c>
      <c r="B45" s="19">
        <v>2019</v>
      </c>
      <c r="C45" s="19" t="s">
        <v>36</v>
      </c>
      <c r="D45" s="19">
        <v>1628.8000000000002</v>
      </c>
      <c r="E45" s="19">
        <f t="shared" si="6"/>
        <v>-0.24557956777996326</v>
      </c>
      <c r="F45" s="19">
        <v>139.19999999999999</v>
      </c>
      <c r="G45" s="19">
        <f t="shared" si="1"/>
        <v>5.0287356321839116</v>
      </c>
      <c r="H45" s="19">
        <v>136.80000000000001</v>
      </c>
      <c r="I45" s="19">
        <f t="shared" si="2"/>
        <v>5.1169590643274754</v>
      </c>
      <c r="J45" s="19">
        <v>119.9</v>
      </c>
      <c r="K45" s="19">
        <f t="shared" si="3"/>
        <v>3.9199332777314355</v>
      </c>
      <c r="L45" s="79">
        <v>149</v>
      </c>
      <c r="M45" s="19">
        <f t="shared" si="4"/>
        <v>14.654554147740795</v>
      </c>
      <c r="N45" s="86" t="str">
        <f t="shared" si="5"/>
        <v>Before</v>
      </c>
    </row>
    <row r="46" spans="1:14" x14ac:dyDescent="0.55000000000000004">
      <c r="A46" s="14" t="s">
        <v>34</v>
      </c>
      <c r="B46" s="19">
        <v>2019</v>
      </c>
      <c r="C46" s="19" t="s">
        <v>36</v>
      </c>
      <c r="D46" s="19">
        <v>1624.8000000000002</v>
      </c>
      <c r="E46" s="19">
        <f t="shared" si="6"/>
        <v>1.1139832594780907</v>
      </c>
      <c r="F46" s="19">
        <v>146.19999999999999</v>
      </c>
      <c r="G46" s="19">
        <f t="shared" si="1"/>
        <v>3.488372093023262</v>
      </c>
      <c r="H46" s="19">
        <v>143.80000000000001</v>
      </c>
      <c r="I46" s="19">
        <f t="shared" si="2"/>
        <v>3.9638386648122248</v>
      </c>
      <c r="J46" s="19">
        <v>124.6</v>
      </c>
      <c r="K46" s="19">
        <f t="shared" si="3"/>
        <v>4.4943820224718989</v>
      </c>
      <c r="L46" s="78">
        <v>149</v>
      </c>
      <c r="M46" s="19">
        <f t="shared" si="4"/>
        <v>-272.59984639016938</v>
      </c>
      <c r="N46" s="86" t="str">
        <f t="shared" si="5"/>
        <v>Before</v>
      </c>
    </row>
    <row r="47" spans="1:14" x14ac:dyDescent="0.55000000000000004">
      <c r="A47" s="14" t="s">
        <v>30</v>
      </c>
      <c r="B47" s="19">
        <v>2019</v>
      </c>
      <c r="C47" s="19" t="s">
        <v>38</v>
      </c>
      <c r="D47" s="19">
        <v>1642.9</v>
      </c>
      <c r="E47" s="19">
        <f t="shared" si="6"/>
        <v>1.5095258384564048</v>
      </c>
      <c r="F47" s="19">
        <v>151.30000000000001</v>
      </c>
      <c r="G47" s="19">
        <f t="shared" si="1"/>
        <v>-7.6007931262392585</v>
      </c>
      <c r="H47" s="19">
        <v>149.5</v>
      </c>
      <c r="I47" s="19">
        <f t="shared" si="2"/>
        <v>-8.227424749163891</v>
      </c>
      <c r="J47" s="19">
        <v>130.19999999999999</v>
      </c>
      <c r="K47" s="19">
        <f t="shared" si="3"/>
        <v>-7.7572964669738838</v>
      </c>
      <c r="L47" s="79">
        <v>150.1</v>
      </c>
      <c r="M47" s="19">
        <f t="shared" si="4"/>
        <v>-151.52142191737931</v>
      </c>
      <c r="N47" s="86" t="str">
        <f t="shared" si="5"/>
        <v>Before</v>
      </c>
    </row>
    <row r="48" spans="1:14" x14ac:dyDescent="0.55000000000000004">
      <c r="A48" s="14" t="s">
        <v>33</v>
      </c>
      <c r="B48" s="19">
        <v>2019</v>
      </c>
      <c r="C48" s="19" t="s">
        <v>38</v>
      </c>
      <c r="D48" s="19">
        <v>1667.7000000000003</v>
      </c>
      <c r="E48" s="19">
        <f t="shared" si="6"/>
        <v>-1.0013791449301479</v>
      </c>
      <c r="F48" s="19">
        <v>139.80000000000001</v>
      </c>
      <c r="G48" s="19">
        <f t="shared" si="1"/>
        <v>5.0786838340486362</v>
      </c>
      <c r="H48" s="19">
        <v>137.19999999999999</v>
      </c>
      <c r="I48" s="19">
        <f t="shared" si="2"/>
        <v>4.7376093294460686</v>
      </c>
      <c r="J48" s="19">
        <v>120.1</v>
      </c>
      <c r="K48" s="19">
        <f t="shared" si="3"/>
        <v>3.9966694421315729</v>
      </c>
      <c r="L48" s="78">
        <v>150.1</v>
      </c>
      <c r="M48" s="19">
        <f t="shared" si="4"/>
        <v>6.1732719508931</v>
      </c>
      <c r="N48" s="86" t="str">
        <f t="shared" si="5"/>
        <v>Before</v>
      </c>
    </row>
    <row r="49" spans="1:14" x14ac:dyDescent="0.55000000000000004">
      <c r="A49" s="14" t="s">
        <v>34</v>
      </c>
      <c r="B49" s="19">
        <v>2019</v>
      </c>
      <c r="C49" s="19" t="s">
        <v>38</v>
      </c>
      <c r="D49" s="19">
        <v>1651.0000000000002</v>
      </c>
      <c r="E49" s="19">
        <f t="shared" si="6"/>
        <v>0.73894609327678218</v>
      </c>
      <c r="F49" s="19">
        <v>146.9</v>
      </c>
      <c r="G49" s="19">
        <f t="shared" si="1"/>
        <v>3.2675289312457334</v>
      </c>
      <c r="H49" s="19">
        <v>143.69999999999999</v>
      </c>
      <c r="I49" s="19">
        <f t="shared" si="2"/>
        <v>4.1057759220598511</v>
      </c>
      <c r="J49" s="19">
        <v>124.9</v>
      </c>
      <c r="K49" s="19">
        <f t="shared" si="3"/>
        <v>4.2433947157725971</v>
      </c>
      <c r="L49" s="79">
        <v>150.1</v>
      </c>
      <c r="M49" s="19">
        <f t="shared" si="4"/>
        <v>-291.85867895545397</v>
      </c>
      <c r="N49" s="86" t="str">
        <f t="shared" si="5"/>
        <v>Before</v>
      </c>
    </row>
    <row r="50" spans="1:14" x14ac:dyDescent="0.55000000000000004">
      <c r="A50" s="14" t="s">
        <v>30</v>
      </c>
      <c r="B50" s="19">
        <v>2019</v>
      </c>
      <c r="C50" s="19" t="s">
        <v>39</v>
      </c>
      <c r="D50" s="19">
        <v>1663.1999999999998</v>
      </c>
      <c r="E50" s="19">
        <f t="shared" si="6"/>
        <v>1.4730639730639705</v>
      </c>
      <c r="F50" s="19">
        <v>151.69999999999999</v>
      </c>
      <c r="G50" s="19">
        <f t="shared" si="1"/>
        <v>-7.5148319050757912</v>
      </c>
      <c r="H50" s="19">
        <v>149.6</v>
      </c>
      <c r="I50" s="19">
        <f t="shared" si="2"/>
        <v>-8.1550802139037319</v>
      </c>
      <c r="J50" s="19">
        <v>130.19999999999999</v>
      </c>
      <c r="K50" s="19">
        <f t="shared" si="3"/>
        <v>-8.1413210445468458</v>
      </c>
      <c r="L50" s="78">
        <v>149.4</v>
      </c>
      <c r="M50" s="19">
        <f t="shared" si="4"/>
        <v>-151.35041332744382</v>
      </c>
      <c r="N50" s="86" t="str">
        <f t="shared" si="5"/>
        <v>Before</v>
      </c>
    </row>
    <row r="51" spans="1:14" x14ac:dyDescent="0.55000000000000004">
      <c r="A51" s="14" t="s">
        <v>33</v>
      </c>
      <c r="B51" s="19">
        <v>2019</v>
      </c>
      <c r="C51" s="19" t="s">
        <v>39</v>
      </c>
      <c r="D51" s="19">
        <v>1687.6999999999998</v>
      </c>
      <c r="E51" s="19">
        <f t="shared" si="6"/>
        <v>-0.96581145938257063</v>
      </c>
      <c r="F51" s="19">
        <v>140.30000000000001</v>
      </c>
      <c r="G51" s="19">
        <f t="shared" si="1"/>
        <v>5.0605844618674123</v>
      </c>
      <c r="H51" s="19">
        <v>137.4</v>
      </c>
      <c r="I51" s="19">
        <f t="shared" si="2"/>
        <v>4.6579330422125143</v>
      </c>
      <c r="J51" s="19">
        <v>119.6</v>
      </c>
      <c r="K51" s="19">
        <f t="shared" si="3"/>
        <v>4.1806020066889715</v>
      </c>
      <c r="L51" s="79">
        <v>149.4</v>
      </c>
      <c r="M51" s="19">
        <f t="shared" si="4"/>
        <v>26.703049759229145</v>
      </c>
      <c r="N51" s="86" t="str">
        <f t="shared" si="5"/>
        <v>Before</v>
      </c>
    </row>
    <row r="52" spans="1:14" x14ac:dyDescent="0.55000000000000004">
      <c r="A52" s="14" t="s">
        <v>34</v>
      </c>
      <c r="B52" s="19">
        <v>2019</v>
      </c>
      <c r="C52" s="19" t="s">
        <v>39</v>
      </c>
      <c r="D52" s="19">
        <v>1671.4</v>
      </c>
      <c r="E52" s="19">
        <f t="shared" si="6"/>
        <v>0.74787603206891706</v>
      </c>
      <c r="F52" s="19">
        <v>147.4</v>
      </c>
      <c r="G52" s="19">
        <f t="shared" si="1"/>
        <v>3.2564450474898088</v>
      </c>
      <c r="H52" s="19">
        <v>143.80000000000001</v>
      </c>
      <c r="I52" s="19">
        <f t="shared" si="2"/>
        <v>4.311543810848395</v>
      </c>
      <c r="J52" s="19">
        <v>124.6</v>
      </c>
      <c r="K52" s="19">
        <f t="shared" si="3"/>
        <v>5.2969502407704594</v>
      </c>
      <c r="L52" s="78">
        <v>149.4</v>
      </c>
      <c r="M52" s="19">
        <f t="shared" si="4"/>
        <v>-252.52679231337791</v>
      </c>
      <c r="N52" s="86" t="str">
        <f t="shared" si="5"/>
        <v>Before</v>
      </c>
    </row>
    <row r="53" spans="1:14" x14ac:dyDescent="0.55000000000000004">
      <c r="A53" s="14" t="s">
        <v>30</v>
      </c>
      <c r="B53" s="19">
        <v>2019</v>
      </c>
      <c r="C53" s="19" t="s">
        <v>40</v>
      </c>
      <c r="D53" s="19">
        <v>1683.8999999999999</v>
      </c>
      <c r="E53" s="19">
        <f t="shared" si="6"/>
        <v>1.5321574915375002</v>
      </c>
      <c r="F53" s="19">
        <v>152.19999999999999</v>
      </c>
      <c r="G53" s="19">
        <f t="shared" si="1"/>
        <v>-7.4901445466491356</v>
      </c>
      <c r="H53" s="19">
        <v>150</v>
      </c>
      <c r="I53" s="19">
        <f t="shared" si="2"/>
        <v>-8.2000000000000064</v>
      </c>
      <c r="J53" s="19">
        <v>131.19999999999999</v>
      </c>
      <c r="K53" s="19">
        <f t="shared" si="3"/>
        <v>-8.0792682926829293</v>
      </c>
      <c r="L53" s="79">
        <v>150.6</v>
      </c>
      <c r="M53" s="19">
        <f t="shared" si="4"/>
        <v>-151.31574830251247</v>
      </c>
      <c r="N53" s="86" t="str">
        <f t="shared" si="5"/>
        <v>Before</v>
      </c>
    </row>
    <row r="54" spans="1:14" x14ac:dyDescent="0.55000000000000004">
      <c r="A54" s="14" t="s">
        <v>33</v>
      </c>
      <c r="B54" s="19">
        <v>2019</v>
      </c>
      <c r="C54" s="19" t="s">
        <v>40</v>
      </c>
      <c r="D54" s="19">
        <v>1709.6999999999998</v>
      </c>
      <c r="E54" s="19">
        <f t="shared" si="6"/>
        <v>-0.98847751067437928</v>
      </c>
      <c r="F54" s="19">
        <v>140.80000000000001</v>
      </c>
      <c r="G54" s="19">
        <f t="shared" si="1"/>
        <v>5.0426136363636243</v>
      </c>
      <c r="H54" s="19">
        <v>137.69999999999999</v>
      </c>
      <c r="I54" s="19">
        <f t="shared" si="2"/>
        <v>4.7204066811910028</v>
      </c>
      <c r="J54" s="19">
        <v>120.6</v>
      </c>
      <c r="K54" s="19">
        <f t="shared" si="3"/>
        <v>4.1459369817578695</v>
      </c>
      <c r="L54" s="78">
        <v>150.6</v>
      </c>
      <c r="M54" s="19">
        <f t="shared" si="4"/>
        <v>11.382165605095862</v>
      </c>
      <c r="N54" s="86" t="str">
        <f t="shared" si="5"/>
        <v>Before</v>
      </c>
    </row>
    <row r="55" spans="1:14" x14ac:dyDescent="0.55000000000000004">
      <c r="A55" s="14" t="s">
        <v>34</v>
      </c>
      <c r="B55" s="19">
        <v>2019</v>
      </c>
      <c r="C55" s="19" t="s">
        <v>40</v>
      </c>
      <c r="D55" s="19">
        <v>1692.8</v>
      </c>
      <c r="E55" s="19">
        <f t="shared" si="6"/>
        <v>-0.13586956521737248</v>
      </c>
      <c r="F55" s="19">
        <v>147.9</v>
      </c>
      <c r="G55" s="19">
        <f t="shared" si="1"/>
        <v>3.2454361054766512</v>
      </c>
      <c r="H55" s="19">
        <v>144.19999999999999</v>
      </c>
      <c r="I55" s="19">
        <f t="shared" si="2"/>
        <v>4.1608876560332853</v>
      </c>
      <c r="J55" s="19">
        <v>125.6</v>
      </c>
      <c r="K55" s="19">
        <f t="shared" si="3"/>
        <v>4.6178343949044631</v>
      </c>
      <c r="L55" s="79">
        <v>150.6</v>
      </c>
      <c r="M55" s="19">
        <f t="shared" si="4"/>
        <v>-274.69164960898541</v>
      </c>
      <c r="N55" s="86" t="str">
        <f t="shared" si="5"/>
        <v>Before</v>
      </c>
    </row>
    <row r="56" spans="1:14" x14ac:dyDescent="0.55000000000000004">
      <c r="A56" s="14" t="s">
        <v>30</v>
      </c>
      <c r="B56" s="19">
        <v>2019</v>
      </c>
      <c r="C56" s="19" t="s">
        <v>41</v>
      </c>
      <c r="D56" s="19">
        <v>1690.5000000000002</v>
      </c>
      <c r="E56" s="19">
        <f t="shared" si="6"/>
        <v>1.7450458444247197</v>
      </c>
      <c r="F56" s="19">
        <v>152.69999999999999</v>
      </c>
      <c r="G56" s="19">
        <f t="shared" si="1"/>
        <v>-7.3346430910281484</v>
      </c>
      <c r="H56" s="19">
        <v>150.19999999999999</v>
      </c>
      <c r="I56" s="19">
        <f t="shared" si="2"/>
        <v>-8.0559254327563163</v>
      </c>
      <c r="J56" s="19">
        <v>131.4</v>
      </c>
      <c r="K56" s="19">
        <f t="shared" si="3"/>
        <v>-8.0669710806697168</v>
      </c>
      <c r="L56" s="78">
        <v>151.6</v>
      </c>
      <c r="M56" s="19">
        <f t="shared" si="4"/>
        <v>-151.30888416843672</v>
      </c>
      <c r="N56" s="86" t="str">
        <f t="shared" si="5"/>
        <v>Before</v>
      </c>
    </row>
    <row r="57" spans="1:14" x14ac:dyDescent="0.55000000000000004">
      <c r="A57" s="14" t="s">
        <v>33</v>
      </c>
      <c r="B57" s="19">
        <v>2019</v>
      </c>
      <c r="C57" s="19" t="s">
        <v>41</v>
      </c>
      <c r="D57" s="19">
        <v>1720</v>
      </c>
      <c r="E57" s="19">
        <f t="shared" si="6"/>
        <v>-1.1279069767441863</v>
      </c>
      <c r="F57" s="19">
        <v>141.5</v>
      </c>
      <c r="G57" s="19">
        <f t="shared" si="1"/>
        <v>4.9469964664310861</v>
      </c>
      <c r="H57" s="19">
        <v>138.1</v>
      </c>
      <c r="I57" s="19">
        <f t="shared" si="2"/>
        <v>4.6343229543808873</v>
      </c>
      <c r="J57" s="19">
        <v>120.8</v>
      </c>
      <c r="K57" s="19">
        <f t="shared" si="3"/>
        <v>4.1390728476821126</v>
      </c>
      <c r="L57" s="79">
        <v>151.6</v>
      </c>
      <c r="M57" s="19">
        <f t="shared" si="4"/>
        <v>11.389507154213184</v>
      </c>
      <c r="N57" s="86" t="str">
        <f t="shared" si="5"/>
        <v>Before</v>
      </c>
    </row>
    <row r="58" spans="1:14" x14ac:dyDescent="0.55000000000000004">
      <c r="A58" s="14" t="s">
        <v>34</v>
      </c>
      <c r="B58" s="19">
        <v>2019</v>
      </c>
      <c r="C58" s="19" t="s">
        <v>41</v>
      </c>
      <c r="D58" s="19">
        <v>1700.6</v>
      </c>
      <c r="E58" s="19">
        <f t="shared" si="6"/>
        <v>0.15288721627662039</v>
      </c>
      <c r="F58" s="19">
        <v>148.5</v>
      </c>
      <c r="G58" s="19">
        <f t="shared" si="1"/>
        <v>3.2996632996633135</v>
      </c>
      <c r="H58" s="19">
        <v>144.5</v>
      </c>
      <c r="I58" s="19">
        <f t="shared" si="2"/>
        <v>4.0138408304498441</v>
      </c>
      <c r="J58" s="19">
        <v>125.8</v>
      </c>
      <c r="K58" s="19">
        <f t="shared" si="3"/>
        <v>4.6104928457869621</v>
      </c>
      <c r="L58" s="78">
        <v>151.6</v>
      </c>
      <c r="M58" s="19">
        <f t="shared" si="4"/>
        <v>-271.40760926527616</v>
      </c>
      <c r="N58" s="86" t="str">
        <f t="shared" si="5"/>
        <v>Before</v>
      </c>
    </row>
    <row r="59" spans="1:14" x14ac:dyDescent="0.55000000000000004">
      <c r="A59" s="14" t="s">
        <v>30</v>
      </c>
      <c r="B59" s="19">
        <v>2019</v>
      </c>
      <c r="C59" s="19" t="s">
        <v>42</v>
      </c>
      <c r="D59" s="19">
        <v>1703.2</v>
      </c>
      <c r="E59" s="19">
        <f t="shared" si="6"/>
        <v>1.3034288398309002</v>
      </c>
      <c r="F59" s="19">
        <v>153.4</v>
      </c>
      <c r="G59" s="19">
        <f t="shared" si="1"/>
        <v>-7.4967405475880096</v>
      </c>
      <c r="H59" s="19">
        <v>150.30000000000001</v>
      </c>
      <c r="I59" s="19">
        <f t="shared" si="2"/>
        <v>-7.9840319361277441</v>
      </c>
      <c r="J59" s="19">
        <v>131.6</v>
      </c>
      <c r="K59" s="19">
        <f t="shared" si="3"/>
        <v>-7.9027355623100259</v>
      </c>
      <c r="L59" s="79">
        <v>152.19999999999999</v>
      </c>
      <c r="M59" s="19">
        <f t="shared" si="4"/>
        <v>-151.15828890581363</v>
      </c>
      <c r="N59" s="86" t="str">
        <f t="shared" si="5"/>
        <v>Before</v>
      </c>
    </row>
    <row r="60" spans="1:14" x14ac:dyDescent="0.55000000000000004">
      <c r="A60" s="14" t="s">
        <v>33</v>
      </c>
      <c r="B60" s="19">
        <v>2019</v>
      </c>
      <c r="C60" s="19" t="s">
        <v>42</v>
      </c>
      <c r="D60" s="19">
        <v>1725.4</v>
      </c>
      <c r="E60" s="19">
        <f t="shared" si="6"/>
        <v>-0.85197635330939159</v>
      </c>
      <c r="F60" s="19">
        <v>141.9</v>
      </c>
      <c r="G60" s="19">
        <f t="shared" si="1"/>
        <v>5.0035236081747758</v>
      </c>
      <c r="H60" s="19">
        <v>138.30000000000001</v>
      </c>
      <c r="I60" s="19">
        <f t="shared" si="2"/>
        <v>4.5553145336225453</v>
      </c>
      <c r="J60" s="19">
        <v>121.2</v>
      </c>
      <c r="K60" s="19">
        <f t="shared" si="3"/>
        <v>4.0429042904290391</v>
      </c>
      <c r="L60" s="78">
        <v>152.19999999999999</v>
      </c>
      <c r="M60" s="19">
        <f t="shared" si="4"/>
        <v>9.8447943808771079</v>
      </c>
      <c r="N60" s="86" t="str">
        <f t="shared" si="5"/>
        <v>Before</v>
      </c>
    </row>
    <row r="61" spans="1:14" x14ac:dyDescent="0.55000000000000004">
      <c r="A61" s="14" t="s">
        <v>34</v>
      </c>
      <c r="B61" s="19">
        <v>2019</v>
      </c>
      <c r="C61" s="19" t="s">
        <v>42</v>
      </c>
      <c r="D61" s="19">
        <v>1710.6999999999998</v>
      </c>
      <c r="E61" s="19">
        <f t="shared" si="6"/>
        <v>1.0463552931548437</v>
      </c>
      <c r="F61" s="19">
        <v>149</v>
      </c>
      <c r="G61" s="19">
        <f t="shared" si="1"/>
        <v>3.1543624161073813</v>
      </c>
      <c r="H61" s="19">
        <v>144.6</v>
      </c>
      <c r="I61" s="19">
        <f t="shared" si="2"/>
        <v>4.1493775933610033</v>
      </c>
      <c r="J61" s="19">
        <v>126.1</v>
      </c>
      <c r="K61" s="19">
        <f t="shared" si="3"/>
        <v>4.440919904837437</v>
      </c>
      <c r="L61" s="79">
        <v>152.19999999999999</v>
      </c>
      <c r="M61" s="19">
        <f t="shared" si="4"/>
        <v>-274.39798242759474</v>
      </c>
      <c r="N61" s="86" t="str">
        <f t="shared" si="5"/>
        <v>Before</v>
      </c>
    </row>
    <row r="62" spans="1:14" x14ac:dyDescent="0.55000000000000004">
      <c r="A62" s="14" t="s">
        <v>30</v>
      </c>
      <c r="B62" s="19">
        <v>2019</v>
      </c>
      <c r="C62" s="19" t="s">
        <v>43</v>
      </c>
      <c r="D62" s="19">
        <v>1728.5999999999997</v>
      </c>
      <c r="E62" s="19">
        <f t="shared" si="6"/>
        <v>1.2784912646072177</v>
      </c>
      <c r="F62" s="19">
        <v>153.69999999999999</v>
      </c>
      <c r="G62" s="19">
        <f t="shared" si="1"/>
        <v>-7.351984385165899</v>
      </c>
      <c r="H62" s="19">
        <v>150.6</v>
      </c>
      <c r="I62" s="19">
        <f t="shared" si="2"/>
        <v>-7.9017264276228456</v>
      </c>
      <c r="J62" s="19">
        <v>131.69999999999999</v>
      </c>
      <c r="K62" s="19">
        <f t="shared" si="3"/>
        <v>-7.7448747152619513</v>
      </c>
      <c r="L62" s="78">
        <v>153</v>
      </c>
      <c r="M62" s="19">
        <f t="shared" si="4"/>
        <v>-151.00944081336232</v>
      </c>
      <c r="N62" s="86" t="str">
        <f t="shared" si="5"/>
        <v>Before</v>
      </c>
    </row>
    <row r="63" spans="1:14" x14ac:dyDescent="0.55000000000000004">
      <c r="A63" s="14" t="s">
        <v>33</v>
      </c>
      <c r="B63" s="19">
        <v>2019</v>
      </c>
      <c r="C63" s="19" t="s">
        <v>43</v>
      </c>
      <c r="D63" s="19">
        <v>1750.7</v>
      </c>
      <c r="E63" s="19">
        <f t="shared" si="6"/>
        <v>-0.83966413434627407</v>
      </c>
      <c r="F63" s="19">
        <v>142.4</v>
      </c>
      <c r="G63" s="19">
        <f t="shared" si="1"/>
        <v>4.9157303370786609</v>
      </c>
      <c r="H63" s="19">
        <v>138.69999999999999</v>
      </c>
      <c r="I63" s="19">
        <f t="shared" si="2"/>
        <v>4.5421773612112526</v>
      </c>
      <c r="J63" s="19">
        <v>121.5</v>
      </c>
      <c r="K63" s="19">
        <f t="shared" si="3"/>
        <v>3.9506172839506082</v>
      </c>
      <c r="L63" s="79">
        <v>153</v>
      </c>
      <c r="M63" s="19">
        <f t="shared" si="4"/>
        <v>16.241092636580046</v>
      </c>
      <c r="N63" s="86" t="str">
        <f t="shared" si="5"/>
        <v>Before</v>
      </c>
    </row>
    <row r="64" spans="1:14" x14ac:dyDescent="0.55000000000000004">
      <c r="A64" s="14" t="s">
        <v>34</v>
      </c>
      <c r="B64" s="19">
        <v>2019</v>
      </c>
      <c r="C64" s="19" t="s">
        <v>43</v>
      </c>
      <c r="D64" s="19">
        <v>1735.9999999999998</v>
      </c>
      <c r="E64" s="19">
        <f t="shared" si="6"/>
        <v>1.0195852534562455</v>
      </c>
      <c r="F64" s="19">
        <v>149.4</v>
      </c>
      <c r="G64" s="19">
        <f t="shared" si="1"/>
        <v>3.2797858099062882</v>
      </c>
      <c r="H64" s="19">
        <v>145</v>
      </c>
      <c r="I64" s="19">
        <f t="shared" si="2"/>
        <v>4.0689655172413852</v>
      </c>
      <c r="J64" s="19">
        <v>126.3</v>
      </c>
      <c r="K64" s="19">
        <f t="shared" si="3"/>
        <v>4.5922406967537688</v>
      </c>
      <c r="L64" s="78">
        <v>153</v>
      </c>
      <c r="M64" s="19">
        <f t="shared" si="4"/>
        <v>-271.43752120911489</v>
      </c>
      <c r="N64" s="86" t="str">
        <f t="shared" si="5"/>
        <v>Before</v>
      </c>
    </row>
    <row r="65" spans="1:14" x14ac:dyDescent="0.55000000000000004">
      <c r="A65" s="14" t="s">
        <v>30</v>
      </c>
      <c r="B65" s="19">
        <v>2019</v>
      </c>
      <c r="C65" s="19" t="s">
        <v>45</v>
      </c>
      <c r="D65" s="19">
        <v>1753.7</v>
      </c>
      <c r="E65" s="19">
        <f t="shared" si="6"/>
        <v>0.95227233848433901</v>
      </c>
      <c r="F65" s="19">
        <v>154.30000000000001</v>
      </c>
      <c r="G65" s="19">
        <f t="shared" si="1"/>
        <v>-7.4530136098509336</v>
      </c>
      <c r="H65" s="19">
        <v>150.9</v>
      </c>
      <c r="I65" s="19">
        <f t="shared" si="2"/>
        <v>-7.8197481776010713</v>
      </c>
      <c r="J65" s="19">
        <v>132.1</v>
      </c>
      <c r="K65" s="19">
        <f t="shared" si="3"/>
        <v>-7.8728236184708482</v>
      </c>
      <c r="L65" s="79">
        <v>153.5</v>
      </c>
      <c r="M65" s="19">
        <f t="shared" si="4"/>
        <v>-151.14167878136661</v>
      </c>
      <c r="N65" s="86" t="str">
        <f t="shared" si="5"/>
        <v>Before</v>
      </c>
    </row>
    <row r="66" spans="1:14" x14ac:dyDescent="0.55000000000000004">
      <c r="A66" s="14" t="s">
        <v>33</v>
      </c>
      <c r="B66" s="19">
        <v>2019</v>
      </c>
      <c r="C66" s="19" t="s">
        <v>45</v>
      </c>
      <c r="D66" s="19">
        <v>1770.3999999999999</v>
      </c>
      <c r="E66" s="19">
        <f t="shared" si="6"/>
        <v>-0.64392227745141417</v>
      </c>
      <c r="F66" s="19">
        <v>142.80000000000001</v>
      </c>
      <c r="G66" s="19">
        <f t="shared" si="1"/>
        <v>4.9719887955182118</v>
      </c>
      <c r="H66" s="19">
        <v>139.1</v>
      </c>
      <c r="I66" s="19">
        <f t="shared" si="2"/>
        <v>4.4572250179726991</v>
      </c>
      <c r="J66" s="19">
        <v>121.7</v>
      </c>
      <c r="K66" s="19">
        <f t="shared" si="3"/>
        <v>4.0262941659819251</v>
      </c>
      <c r="L66" s="78">
        <v>153.5</v>
      </c>
      <c r="M66" s="19">
        <f t="shared" si="4"/>
        <v>64.793500338523984</v>
      </c>
      <c r="N66" s="86" t="str">
        <f t="shared" si="5"/>
        <v>Before</v>
      </c>
    </row>
    <row r="67" spans="1:14" x14ac:dyDescent="0.55000000000000004">
      <c r="A67" s="14" t="s">
        <v>34</v>
      </c>
      <c r="B67" s="19">
        <v>2019</v>
      </c>
      <c r="C67" s="19" t="s">
        <v>45</v>
      </c>
      <c r="D67" s="19">
        <v>1759</v>
      </c>
      <c r="E67" s="19">
        <f t="shared" si="6"/>
        <v>1.574758385446251</v>
      </c>
      <c r="F67" s="19">
        <v>149.9</v>
      </c>
      <c r="G67" s="19">
        <f t="shared" ref="G67:G130" si="7">(F68/F67-1)*100</f>
        <v>3.2688458972648382</v>
      </c>
      <c r="H67" s="19">
        <v>145.30000000000001</v>
      </c>
      <c r="I67" s="19">
        <f t="shared" ref="I67:I130" si="8">(H68/H67-1)*100</f>
        <v>4.0605643496214539</v>
      </c>
      <c r="J67" s="19">
        <v>126.6</v>
      </c>
      <c r="K67" s="19">
        <f t="shared" ref="K67:K130" si="9">(J68/J67-1)*100</f>
        <v>6.6350710900473953</v>
      </c>
      <c r="L67" s="79">
        <v>153.5</v>
      </c>
      <c r="M67" s="19">
        <f t="shared" ref="M67:M130" si="10">(K68/K67-1)*100</f>
        <v>-209.40740740740731</v>
      </c>
      <c r="N67" s="86" t="str">
        <f t="shared" ref="N67:N130" si="11">IF(B67&lt;2020, "Before", IF(B67=2020, "COVID", IF(B67&lt;=2022, "After", "After 2022")))</f>
        <v>Before</v>
      </c>
    </row>
    <row r="68" spans="1:14" x14ac:dyDescent="0.55000000000000004">
      <c r="A68" s="14" t="s">
        <v>30</v>
      </c>
      <c r="B68" s="19">
        <v>2019</v>
      </c>
      <c r="C68" s="19" t="s">
        <v>46</v>
      </c>
      <c r="D68" s="19">
        <v>1786.6999999999996</v>
      </c>
      <c r="E68" s="19">
        <f t="shared" si="6"/>
        <v>0.76677673923997158</v>
      </c>
      <c r="F68" s="19">
        <v>154.80000000000001</v>
      </c>
      <c r="G68" s="19">
        <f t="shared" si="7"/>
        <v>-7.493540051679604</v>
      </c>
      <c r="H68" s="19">
        <v>151.19999999999999</v>
      </c>
      <c r="I68" s="19">
        <f t="shared" si="8"/>
        <v>-7.5396825396825236</v>
      </c>
      <c r="J68" s="19">
        <v>135</v>
      </c>
      <c r="K68" s="19">
        <f t="shared" si="9"/>
        <v>-7.2592592592592542</v>
      </c>
      <c r="L68" s="78">
        <v>152.80000000000001</v>
      </c>
      <c r="M68" s="19">
        <f t="shared" si="10"/>
        <v>-150.61289691595502</v>
      </c>
      <c r="N68" s="86" t="str">
        <f t="shared" si="11"/>
        <v>Before</v>
      </c>
    </row>
    <row r="69" spans="1:14" x14ac:dyDescent="0.55000000000000004">
      <c r="A69" s="14" t="s">
        <v>33</v>
      </c>
      <c r="B69" s="19">
        <v>2019</v>
      </c>
      <c r="C69" s="19" t="s">
        <v>46</v>
      </c>
      <c r="D69" s="19">
        <v>1800.4</v>
      </c>
      <c r="E69" s="19">
        <f t="shared" si="6"/>
        <v>-0.51655187736058261</v>
      </c>
      <c r="F69" s="19">
        <v>143.19999999999999</v>
      </c>
      <c r="G69" s="19">
        <f t="shared" si="7"/>
        <v>5.0279329608938772</v>
      </c>
      <c r="H69" s="19">
        <v>139.80000000000001</v>
      </c>
      <c r="I69" s="19">
        <f t="shared" si="8"/>
        <v>4.2918454935622297</v>
      </c>
      <c r="J69" s="19">
        <v>125.2</v>
      </c>
      <c r="K69" s="19">
        <f t="shared" si="9"/>
        <v>3.6741214057508076</v>
      </c>
      <c r="L69" s="79">
        <v>152.80000000000001</v>
      </c>
      <c r="M69" s="19">
        <f t="shared" si="10"/>
        <v>36.296643665840293</v>
      </c>
      <c r="N69" s="86" t="str">
        <f t="shared" si="11"/>
        <v>Before</v>
      </c>
    </row>
    <row r="70" spans="1:14" x14ac:dyDescent="0.55000000000000004">
      <c r="A70" s="14" t="s">
        <v>34</v>
      </c>
      <c r="B70" s="19">
        <v>2019</v>
      </c>
      <c r="C70" s="19" t="s">
        <v>46</v>
      </c>
      <c r="D70" s="19">
        <v>1791.1000000000001</v>
      </c>
      <c r="E70" s="19">
        <f t="shared" si="6"/>
        <v>-0.3070738652225069</v>
      </c>
      <c r="F70" s="19">
        <v>150.4</v>
      </c>
      <c r="G70" s="19">
        <f t="shared" si="7"/>
        <v>3.5239361702127603</v>
      </c>
      <c r="H70" s="19">
        <v>145.80000000000001</v>
      </c>
      <c r="I70" s="19">
        <f t="shared" si="8"/>
        <v>4.0466392318244004</v>
      </c>
      <c r="J70" s="19">
        <v>129.80000000000001</v>
      </c>
      <c r="K70" s="19">
        <f t="shared" si="9"/>
        <v>5.00770416024654</v>
      </c>
      <c r="L70" s="78">
        <v>152.80000000000001</v>
      </c>
      <c r="M70" s="19">
        <f t="shared" si="10"/>
        <v>-249.43958462667203</v>
      </c>
      <c r="N70" s="86" t="str">
        <f t="shared" si="11"/>
        <v>Before</v>
      </c>
    </row>
    <row r="71" spans="1:14" x14ac:dyDescent="0.55000000000000004">
      <c r="A71" s="14" t="s">
        <v>30</v>
      </c>
      <c r="B71" s="19">
        <v>2020</v>
      </c>
      <c r="C71" s="19" t="s">
        <v>31</v>
      </c>
      <c r="D71" s="19">
        <v>1785.6</v>
      </c>
      <c r="E71" s="19">
        <f t="shared" si="6"/>
        <v>0.30241935483870108</v>
      </c>
      <c r="F71" s="19">
        <v>155.69999999999999</v>
      </c>
      <c r="G71" s="19">
        <f t="shared" si="7"/>
        <v>-7.642903018625546</v>
      </c>
      <c r="H71" s="19">
        <v>151.69999999999999</v>
      </c>
      <c r="I71" s="19">
        <f t="shared" si="8"/>
        <v>-7.6466710613051987</v>
      </c>
      <c r="J71" s="19">
        <v>136.30000000000001</v>
      </c>
      <c r="K71" s="19">
        <f t="shared" si="9"/>
        <v>-7.4834922964050037</v>
      </c>
      <c r="L71" s="79">
        <v>153.9</v>
      </c>
      <c r="M71" s="19">
        <f t="shared" si="10"/>
        <v>-150.86532630498672</v>
      </c>
      <c r="N71" s="86" t="str">
        <f t="shared" si="11"/>
        <v>COVID</v>
      </c>
    </row>
    <row r="72" spans="1:14" x14ac:dyDescent="0.55000000000000004">
      <c r="A72" s="14" t="s">
        <v>33</v>
      </c>
      <c r="B72" s="19">
        <v>2020</v>
      </c>
      <c r="C72" s="19" t="s">
        <v>31</v>
      </c>
      <c r="D72" s="19">
        <v>1790.9999999999998</v>
      </c>
      <c r="E72" s="19">
        <f t="shared" si="6"/>
        <v>-0.22892238972640477</v>
      </c>
      <c r="F72" s="19">
        <v>143.80000000000001</v>
      </c>
      <c r="G72" s="19">
        <f t="shared" si="7"/>
        <v>5.1460361613351768</v>
      </c>
      <c r="H72" s="19">
        <v>140.1</v>
      </c>
      <c r="I72" s="19">
        <f t="shared" si="8"/>
        <v>4.3540328336902245</v>
      </c>
      <c r="J72" s="19">
        <v>126.1</v>
      </c>
      <c r="K72" s="19">
        <f t="shared" si="9"/>
        <v>3.8065027755749492</v>
      </c>
      <c r="L72" s="78">
        <v>153.9</v>
      </c>
      <c r="M72" s="19">
        <f t="shared" si="10"/>
        <v>2.353896103895603</v>
      </c>
      <c r="N72" s="86" t="str">
        <f t="shared" si="11"/>
        <v>COVID</v>
      </c>
    </row>
    <row r="73" spans="1:14" x14ac:dyDescent="0.55000000000000004">
      <c r="A73" s="14" t="s">
        <v>34</v>
      </c>
      <c r="B73" s="19">
        <v>2020</v>
      </c>
      <c r="C73" s="19" t="s">
        <v>31</v>
      </c>
      <c r="D73" s="19">
        <v>1786.8999999999999</v>
      </c>
      <c r="E73" s="19">
        <f t="shared" si="6"/>
        <v>-1.5054004141250243</v>
      </c>
      <c r="F73" s="19">
        <v>151.19999999999999</v>
      </c>
      <c r="G73" s="19">
        <f t="shared" si="7"/>
        <v>3.3068783068783025</v>
      </c>
      <c r="H73" s="19">
        <v>146.19999999999999</v>
      </c>
      <c r="I73" s="19">
        <f t="shared" si="8"/>
        <v>3.8303693570451491</v>
      </c>
      <c r="J73" s="19">
        <v>130.9</v>
      </c>
      <c r="K73" s="19">
        <f t="shared" si="9"/>
        <v>3.8961038961038863</v>
      </c>
      <c r="L73" s="79">
        <v>153.9</v>
      </c>
      <c r="M73" s="19">
        <f t="shared" si="10"/>
        <v>-303.82352941176504</v>
      </c>
      <c r="N73" s="86" t="str">
        <f t="shared" si="11"/>
        <v>COVID</v>
      </c>
    </row>
    <row r="74" spans="1:14" x14ac:dyDescent="0.55000000000000004">
      <c r="A74" s="14" t="s">
        <v>30</v>
      </c>
      <c r="B74" s="19">
        <v>2020</v>
      </c>
      <c r="C74" s="19" t="s">
        <v>35</v>
      </c>
      <c r="D74" s="19">
        <v>1759.9999999999998</v>
      </c>
      <c r="E74" s="19">
        <f t="shared" si="6"/>
        <v>0.27840909090910415</v>
      </c>
      <c r="F74" s="19">
        <v>156.19999999999999</v>
      </c>
      <c r="G74" s="19">
        <f t="shared" si="7"/>
        <v>-7.5544174135723345</v>
      </c>
      <c r="H74" s="19">
        <v>151.80000000000001</v>
      </c>
      <c r="I74" s="19">
        <f t="shared" si="8"/>
        <v>-7.5098814229249022</v>
      </c>
      <c r="J74" s="19">
        <v>136</v>
      </c>
      <c r="K74" s="19">
        <f t="shared" si="9"/>
        <v>-7.9411764705882293</v>
      </c>
      <c r="L74" s="78">
        <v>154.80000000000001</v>
      </c>
      <c r="M74" s="19">
        <f t="shared" si="10"/>
        <v>-151.29570465033743</v>
      </c>
      <c r="N74" s="86" t="str">
        <f t="shared" si="11"/>
        <v>COVID</v>
      </c>
    </row>
    <row r="75" spans="1:14" x14ac:dyDescent="0.55000000000000004">
      <c r="A75" s="14" t="s">
        <v>33</v>
      </c>
      <c r="B75" s="19">
        <v>2020</v>
      </c>
      <c r="C75" s="19" t="s">
        <v>35</v>
      </c>
      <c r="D75" s="19">
        <v>1764.8999999999999</v>
      </c>
      <c r="E75" s="19">
        <f t="shared" si="6"/>
        <v>-0.21530964927191087</v>
      </c>
      <c r="F75" s="19">
        <v>144.4</v>
      </c>
      <c r="G75" s="19">
        <f t="shared" si="7"/>
        <v>5.0554016620498521</v>
      </c>
      <c r="H75" s="19">
        <v>140.4</v>
      </c>
      <c r="I75" s="19">
        <f t="shared" si="8"/>
        <v>4.2735042735042805</v>
      </c>
      <c r="J75" s="19">
        <v>125.2</v>
      </c>
      <c r="K75" s="19">
        <f t="shared" si="9"/>
        <v>4.0734824281150273</v>
      </c>
      <c r="L75" s="79">
        <v>154.80000000000001</v>
      </c>
      <c r="M75" s="19">
        <f t="shared" si="10"/>
        <v>3.622108858892692</v>
      </c>
      <c r="N75" s="86" t="str">
        <f t="shared" si="11"/>
        <v>COVID</v>
      </c>
    </row>
    <row r="76" spans="1:14" x14ac:dyDescent="0.55000000000000004">
      <c r="A76" s="14" t="s">
        <v>34</v>
      </c>
      <c r="B76" s="19">
        <v>2020</v>
      </c>
      <c r="C76" s="19" t="s">
        <v>35</v>
      </c>
      <c r="D76" s="19">
        <v>1761.1</v>
      </c>
      <c r="E76" s="19">
        <f t="shared" si="6"/>
        <v>-0.83470558173870391</v>
      </c>
      <c r="F76" s="19">
        <v>151.69999999999999</v>
      </c>
      <c r="G76" s="19">
        <f t="shared" si="7"/>
        <v>3.2959789057350086</v>
      </c>
      <c r="H76" s="19">
        <v>146.4</v>
      </c>
      <c r="I76" s="19">
        <f t="shared" si="8"/>
        <v>3.4836065573770503</v>
      </c>
      <c r="J76" s="19">
        <v>130.30000000000001</v>
      </c>
      <c r="K76" s="19">
        <f t="shared" si="9"/>
        <v>4.2210283960092188</v>
      </c>
      <c r="L76" s="78">
        <v>154.80000000000001</v>
      </c>
      <c r="M76" s="19">
        <f t="shared" si="10"/>
        <v>-295.38894095595117</v>
      </c>
      <c r="N76" s="86" t="str">
        <f t="shared" si="11"/>
        <v>COVID</v>
      </c>
    </row>
    <row r="77" spans="1:14" x14ac:dyDescent="0.55000000000000004">
      <c r="A77" s="14" t="s">
        <v>30</v>
      </c>
      <c r="B77" s="19">
        <v>2020</v>
      </c>
      <c r="C77" s="19" t="s">
        <v>36</v>
      </c>
      <c r="D77" s="19">
        <v>1746.3999999999996</v>
      </c>
      <c r="E77" s="19">
        <f t="shared" si="6"/>
        <v>0.11452130096201163</v>
      </c>
      <c r="F77" s="19">
        <v>156.69999999999999</v>
      </c>
      <c r="G77" s="19">
        <f t="shared" si="7"/>
        <v>-7.4664964901084758</v>
      </c>
      <c r="H77" s="19">
        <v>151.5</v>
      </c>
      <c r="I77" s="19">
        <f t="shared" si="8"/>
        <v>-7.06270627062705</v>
      </c>
      <c r="J77" s="19">
        <v>135.80000000000001</v>
      </c>
      <c r="K77" s="19">
        <f t="shared" si="9"/>
        <v>-8.2474226804123862</v>
      </c>
      <c r="L77" s="79">
        <v>154.5</v>
      </c>
      <c r="M77" s="19">
        <f t="shared" si="10"/>
        <v>-151.57504012841105</v>
      </c>
      <c r="N77" s="86" t="str">
        <f t="shared" si="11"/>
        <v>COVID</v>
      </c>
    </row>
    <row r="78" spans="1:14" x14ac:dyDescent="0.55000000000000004">
      <c r="A78" s="14" t="s">
        <v>33</v>
      </c>
      <c r="B78" s="19">
        <v>2020</v>
      </c>
      <c r="C78" s="19" t="s">
        <v>36</v>
      </c>
      <c r="D78" s="19">
        <v>1748.4</v>
      </c>
      <c r="E78" s="19">
        <f t="shared" si="6"/>
        <v>-0.10867078471745728</v>
      </c>
      <c r="F78" s="19">
        <v>145</v>
      </c>
      <c r="G78" s="19">
        <f t="shared" si="7"/>
        <v>5.0344827586207064</v>
      </c>
      <c r="H78" s="19">
        <v>140.80000000000001</v>
      </c>
      <c r="I78" s="19">
        <f t="shared" si="8"/>
        <v>3.9772727272727293</v>
      </c>
      <c r="J78" s="19">
        <v>124.6</v>
      </c>
      <c r="K78" s="19">
        <f t="shared" si="9"/>
        <v>4.2536115569823618</v>
      </c>
      <c r="L78" s="78">
        <v>154.5</v>
      </c>
      <c r="M78" s="19">
        <f t="shared" si="10"/>
        <v>-147.95996920708231</v>
      </c>
      <c r="N78" s="86" t="str">
        <f t="shared" si="11"/>
        <v>COVID</v>
      </c>
    </row>
    <row r="79" spans="1:14" x14ac:dyDescent="0.55000000000000004">
      <c r="A79" s="14" t="s">
        <v>34</v>
      </c>
      <c r="B79" s="19">
        <v>2020</v>
      </c>
      <c r="C79" s="19" t="s">
        <v>36</v>
      </c>
      <c r="D79" s="19">
        <v>1746.5</v>
      </c>
      <c r="E79" s="19">
        <f t="shared" ref="E79:E142" si="12">(D80/D79-1)*100</f>
        <v>-16.135127397652425</v>
      </c>
      <c r="F79" s="19">
        <v>152.30000000000001</v>
      </c>
      <c r="G79" s="19">
        <f t="shared" si="7"/>
        <v>1.3131976362442455</v>
      </c>
      <c r="H79" s="19">
        <v>146.4</v>
      </c>
      <c r="I79" s="19">
        <f t="shared" si="8"/>
        <v>-1.9125683060109422</v>
      </c>
      <c r="J79" s="19">
        <v>129.9</v>
      </c>
      <c r="K79" s="19">
        <f t="shared" si="9"/>
        <v>-2.0400307929176353</v>
      </c>
      <c r="L79" s="79">
        <v>155.05000000000001</v>
      </c>
      <c r="M79" s="19">
        <f t="shared" si="10"/>
        <v>-151.04125736738658</v>
      </c>
      <c r="N79" s="86" t="str">
        <f t="shared" si="11"/>
        <v>COVID</v>
      </c>
    </row>
    <row r="80" spans="1:14" x14ac:dyDescent="0.55000000000000004">
      <c r="A80" s="14" t="s">
        <v>30</v>
      </c>
      <c r="B80" s="19">
        <v>2020</v>
      </c>
      <c r="C80" s="19" t="s">
        <v>37</v>
      </c>
      <c r="D80" s="19">
        <v>1464.7000000000003</v>
      </c>
      <c r="E80" s="19">
        <f t="shared" si="12"/>
        <v>1.2630572813545182</v>
      </c>
      <c r="F80" s="19">
        <v>154.30000000000001</v>
      </c>
      <c r="G80" s="19">
        <f t="shared" si="7"/>
        <v>-6.1568373298768631</v>
      </c>
      <c r="H80" s="81">
        <v>143.6</v>
      </c>
      <c r="I80" s="19">
        <f t="shared" si="8"/>
        <v>0.97493036211699913</v>
      </c>
      <c r="J80" s="81">
        <v>127.25</v>
      </c>
      <c r="K80" s="19">
        <f t="shared" si="9"/>
        <v>1.0412573673870273</v>
      </c>
      <c r="L80" s="78">
        <v>155.6</v>
      </c>
      <c r="M80" s="19">
        <f t="shared" si="10"/>
        <v>-149.48473653509609</v>
      </c>
      <c r="N80" s="86" t="str">
        <f t="shared" si="11"/>
        <v>COVID</v>
      </c>
    </row>
    <row r="81" spans="1:14" x14ac:dyDescent="0.55000000000000004">
      <c r="A81" s="14" t="s">
        <v>33</v>
      </c>
      <c r="B81" s="19">
        <v>2020</v>
      </c>
      <c r="C81" s="19" t="s">
        <v>37</v>
      </c>
      <c r="D81" s="19">
        <v>1483.2</v>
      </c>
      <c r="E81" s="19">
        <f t="shared" si="12"/>
        <v>-0.80231930960087405</v>
      </c>
      <c r="F81" s="19">
        <v>144.80000000000001</v>
      </c>
      <c r="G81" s="19">
        <f t="shared" si="7"/>
        <v>4.0745856353590959</v>
      </c>
      <c r="H81" s="80">
        <v>145</v>
      </c>
      <c r="I81" s="19">
        <f t="shared" si="8"/>
        <v>-0.48275862068964948</v>
      </c>
      <c r="J81" s="80">
        <v>128.57499999999999</v>
      </c>
      <c r="K81" s="19">
        <f t="shared" si="9"/>
        <v>-0.51526346490374797</v>
      </c>
      <c r="L81" s="79">
        <v>155.6</v>
      </c>
      <c r="M81" s="19">
        <f t="shared" si="10"/>
        <v>-150.25896609010098</v>
      </c>
      <c r="N81" s="86" t="str">
        <f t="shared" si="11"/>
        <v>COVID</v>
      </c>
    </row>
    <row r="82" spans="1:14" x14ac:dyDescent="0.55000000000000004">
      <c r="A82" s="14" t="s">
        <v>34</v>
      </c>
      <c r="B82" s="19">
        <v>2020</v>
      </c>
      <c r="C82" s="19" t="s">
        <v>37</v>
      </c>
      <c r="D82" s="19">
        <v>1471.3</v>
      </c>
      <c r="E82" s="19">
        <f t="shared" si="12"/>
        <v>23.788912299780197</v>
      </c>
      <c r="F82" s="19">
        <v>150.69999999999999</v>
      </c>
      <c r="G82" s="19">
        <f t="shared" si="7"/>
        <v>-1.9575315195753062</v>
      </c>
      <c r="H82" s="81">
        <v>144.30000000000001</v>
      </c>
      <c r="I82" s="19">
        <f t="shared" si="8"/>
        <v>0.24255024255024349</v>
      </c>
      <c r="J82" s="81">
        <v>127.91249999999999</v>
      </c>
      <c r="K82" s="19">
        <f t="shared" si="9"/>
        <v>0.25896609010065408</v>
      </c>
      <c r="L82" s="78">
        <v>155.6</v>
      </c>
      <c r="M82" s="19">
        <f t="shared" si="10"/>
        <v>-149.870851406014</v>
      </c>
      <c r="N82" s="86" t="str">
        <f t="shared" si="11"/>
        <v>COVID</v>
      </c>
    </row>
    <row r="83" spans="1:14" x14ac:dyDescent="0.55000000000000004">
      <c r="A83" s="14" t="s">
        <v>30</v>
      </c>
      <c r="B83" s="19">
        <v>2020</v>
      </c>
      <c r="C83" s="19" t="s">
        <v>38</v>
      </c>
      <c r="D83" s="79">
        <v>1821.306266666666</v>
      </c>
      <c r="E83" s="19">
        <f t="shared" si="12"/>
        <v>-0.23386328508392396</v>
      </c>
      <c r="F83" s="80">
        <v>147.75</v>
      </c>
      <c r="G83" s="19">
        <f t="shared" si="7"/>
        <v>0.99830795262267902</v>
      </c>
      <c r="H83" s="80">
        <v>144.65</v>
      </c>
      <c r="I83" s="19">
        <f t="shared" si="8"/>
        <v>-0.12098167991705377</v>
      </c>
      <c r="J83" s="80">
        <v>128.24375000000001</v>
      </c>
      <c r="K83" s="19">
        <f t="shared" si="9"/>
        <v>-0.12914859398606149</v>
      </c>
      <c r="L83" s="79">
        <v>155.6</v>
      </c>
      <c r="M83" s="19">
        <f t="shared" si="10"/>
        <v>-150.06465780162958</v>
      </c>
      <c r="N83" s="86" t="str">
        <f t="shared" si="11"/>
        <v>COVID</v>
      </c>
    </row>
    <row r="84" spans="1:14" x14ac:dyDescent="0.55000000000000004">
      <c r="A84" s="14" t="s">
        <v>33</v>
      </c>
      <c r="B84" s="19">
        <v>2020</v>
      </c>
      <c r="C84" s="19" t="s">
        <v>38</v>
      </c>
      <c r="D84" s="78">
        <v>1817.0469000000001</v>
      </c>
      <c r="E84" s="19">
        <f t="shared" si="12"/>
        <v>0.14057975058321404</v>
      </c>
      <c r="F84" s="81">
        <v>149.22499999999999</v>
      </c>
      <c r="G84" s="19">
        <f t="shared" si="7"/>
        <v>-0.49422013737643322</v>
      </c>
      <c r="H84" s="81">
        <v>144.47499999999999</v>
      </c>
      <c r="I84" s="19">
        <f t="shared" si="8"/>
        <v>6.0564111437977353E-2</v>
      </c>
      <c r="J84" s="81">
        <v>128.078125</v>
      </c>
      <c r="K84" s="19">
        <f t="shared" si="9"/>
        <v>6.4657801634737666E-2</v>
      </c>
      <c r="L84" s="78">
        <v>155.6</v>
      </c>
      <c r="M84" s="19">
        <f t="shared" si="10"/>
        <v>15876.462423449881</v>
      </c>
      <c r="N84" s="86" t="str">
        <f t="shared" si="11"/>
        <v>COVID</v>
      </c>
    </row>
    <row r="85" spans="1:14" x14ac:dyDescent="0.55000000000000004">
      <c r="A85" s="14" t="s">
        <v>34</v>
      </c>
      <c r="B85" s="19">
        <v>2020</v>
      </c>
      <c r="C85" s="19" t="s">
        <v>38</v>
      </c>
      <c r="D85" s="79">
        <v>1819.6013</v>
      </c>
      <c r="E85" s="19">
        <f t="shared" si="12"/>
        <v>-1.1486747124218932</v>
      </c>
      <c r="F85" s="80">
        <v>148.48750000000001</v>
      </c>
      <c r="G85" s="19">
        <f t="shared" si="7"/>
        <v>6.5409546258102358</v>
      </c>
      <c r="H85" s="80">
        <v>144.5625</v>
      </c>
      <c r="I85" s="19">
        <f t="shared" si="8"/>
        <v>4.9373108517077213</v>
      </c>
      <c r="J85" s="80">
        <v>128.16093749999999</v>
      </c>
      <c r="K85" s="19">
        <f t="shared" si="9"/>
        <v>10.330029382002625</v>
      </c>
      <c r="L85" s="79">
        <v>155.6</v>
      </c>
      <c r="M85" s="19">
        <f t="shared" si="10"/>
        <v>-182.83891539328417</v>
      </c>
      <c r="N85" s="86" t="str">
        <f t="shared" si="11"/>
        <v>COVID</v>
      </c>
    </row>
    <row r="86" spans="1:14" x14ac:dyDescent="0.55000000000000004">
      <c r="A86" s="14" t="s">
        <v>30</v>
      </c>
      <c r="B86" s="19">
        <v>2020</v>
      </c>
      <c r="C86" s="19" t="s">
        <v>39</v>
      </c>
      <c r="D86" s="19">
        <v>1798.7</v>
      </c>
      <c r="E86" s="19">
        <f t="shared" si="12"/>
        <v>2.1849113248457064</v>
      </c>
      <c r="F86" s="19">
        <v>158.19999999999999</v>
      </c>
      <c r="G86" s="19">
        <f t="shared" si="7"/>
        <v>-6.38432364096081</v>
      </c>
      <c r="H86" s="19">
        <v>151.69999999999999</v>
      </c>
      <c r="I86" s="19">
        <f t="shared" si="8"/>
        <v>-7.4489123269610991</v>
      </c>
      <c r="J86" s="19">
        <v>141.4</v>
      </c>
      <c r="K86" s="19">
        <f t="shared" si="9"/>
        <v>-8.5572842998585479</v>
      </c>
      <c r="L86" s="78">
        <v>154.69999999999999</v>
      </c>
      <c r="M86" s="19">
        <f t="shared" si="10"/>
        <v>-151.51579068474229</v>
      </c>
      <c r="N86" s="86" t="str">
        <f t="shared" si="11"/>
        <v>COVID</v>
      </c>
    </row>
    <row r="87" spans="1:14" x14ac:dyDescent="0.55000000000000004">
      <c r="A87" s="14" t="s">
        <v>33</v>
      </c>
      <c r="B87" s="19">
        <v>2020</v>
      </c>
      <c r="C87" s="19" t="s">
        <v>39</v>
      </c>
      <c r="D87" s="19">
        <v>1837.9999999999998</v>
      </c>
      <c r="E87" s="19">
        <f t="shared" si="12"/>
        <v>-1.371055495103346</v>
      </c>
      <c r="F87" s="19">
        <v>148.1</v>
      </c>
      <c r="G87" s="19">
        <f t="shared" si="7"/>
        <v>4.2538825118163537</v>
      </c>
      <c r="H87" s="19">
        <v>140.4</v>
      </c>
      <c r="I87" s="19">
        <f t="shared" si="8"/>
        <v>4.2735042735042805</v>
      </c>
      <c r="J87" s="19">
        <v>129.30000000000001</v>
      </c>
      <c r="K87" s="19">
        <f t="shared" si="9"/>
        <v>4.4083526682134444</v>
      </c>
      <c r="L87" s="79">
        <v>154.69999999999999</v>
      </c>
      <c r="M87" s="19">
        <f t="shared" si="10"/>
        <v>7.5399610136453799</v>
      </c>
      <c r="N87" s="86" t="str">
        <f t="shared" si="11"/>
        <v>COVID</v>
      </c>
    </row>
    <row r="88" spans="1:14" x14ac:dyDescent="0.55000000000000004">
      <c r="A88" s="14" t="s">
        <v>34</v>
      </c>
      <c r="B88" s="19">
        <v>2020</v>
      </c>
      <c r="C88" s="19" t="s">
        <v>39</v>
      </c>
      <c r="D88" s="19">
        <v>1812.8000000000002</v>
      </c>
      <c r="E88" s="19">
        <f t="shared" si="12"/>
        <v>-0.77780229479259555</v>
      </c>
      <c r="F88" s="19">
        <v>154.4</v>
      </c>
      <c r="G88" s="19">
        <f t="shared" si="7"/>
        <v>2.4611398963730435</v>
      </c>
      <c r="H88" s="19">
        <v>146.4</v>
      </c>
      <c r="I88" s="19">
        <f t="shared" si="8"/>
        <v>3.6202185792349573</v>
      </c>
      <c r="J88" s="19">
        <v>135</v>
      </c>
      <c r="K88" s="19">
        <f t="shared" si="9"/>
        <v>4.7407407407407343</v>
      </c>
      <c r="L88" s="78">
        <v>154.69999999999999</v>
      </c>
      <c r="M88" s="19">
        <f t="shared" si="10"/>
        <v>-280.50521570014149</v>
      </c>
      <c r="N88" s="86" t="str">
        <f t="shared" si="11"/>
        <v>COVID</v>
      </c>
    </row>
    <row r="89" spans="1:14" x14ac:dyDescent="0.55000000000000004">
      <c r="A89" s="14" t="s">
        <v>30</v>
      </c>
      <c r="B89" s="19">
        <v>2020</v>
      </c>
      <c r="C89" s="19" t="s">
        <v>40</v>
      </c>
      <c r="D89" s="19">
        <v>1798.7</v>
      </c>
      <c r="E89" s="19">
        <f t="shared" si="12"/>
        <v>2.1849113248457064</v>
      </c>
      <c r="F89" s="19">
        <v>158.19999999999999</v>
      </c>
      <c r="G89" s="19">
        <f t="shared" si="7"/>
        <v>-6.38432364096081</v>
      </c>
      <c r="H89" s="19">
        <v>151.69999999999999</v>
      </c>
      <c r="I89" s="19">
        <f t="shared" si="8"/>
        <v>-7.4489123269610991</v>
      </c>
      <c r="J89" s="19">
        <v>141.4</v>
      </c>
      <c r="K89" s="19">
        <f t="shared" si="9"/>
        <v>-8.5572842998585479</v>
      </c>
      <c r="L89" s="79">
        <v>154.69999999999999</v>
      </c>
      <c r="M89" s="19">
        <f t="shared" si="10"/>
        <v>-151.51579068474229</v>
      </c>
      <c r="N89" s="86" t="str">
        <f t="shared" si="11"/>
        <v>COVID</v>
      </c>
    </row>
    <row r="90" spans="1:14" x14ac:dyDescent="0.55000000000000004">
      <c r="A90" s="14" t="s">
        <v>33</v>
      </c>
      <c r="B90" s="19">
        <v>2020</v>
      </c>
      <c r="C90" s="19" t="s">
        <v>40</v>
      </c>
      <c r="D90" s="19">
        <v>1837.9999999999998</v>
      </c>
      <c r="E90" s="19">
        <f t="shared" si="12"/>
        <v>-1.371055495103346</v>
      </c>
      <c r="F90" s="19">
        <v>148.1</v>
      </c>
      <c r="G90" s="19">
        <f t="shared" si="7"/>
        <v>4.2538825118163537</v>
      </c>
      <c r="H90" s="19">
        <v>140.4</v>
      </c>
      <c r="I90" s="19">
        <f t="shared" si="8"/>
        <v>4.2735042735042805</v>
      </c>
      <c r="J90" s="19">
        <v>129.30000000000001</v>
      </c>
      <c r="K90" s="19">
        <f t="shared" si="9"/>
        <v>4.4083526682134444</v>
      </c>
      <c r="L90" s="78">
        <v>154.69999999999999</v>
      </c>
      <c r="M90" s="19">
        <f t="shared" si="10"/>
        <v>44.506822612085941</v>
      </c>
      <c r="N90" s="86" t="str">
        <f t="shared" si="11"/>
        <v>COVID</v>
      </c>
    </row>
    <row r="91" spans="1:14" x14ac:dyDescent="0.55000000000000004">
      <c r="A91" s="14" t="s">
        <v>34</v>
      </c>
      <c r="B91" s="19">
        <v>2020</v>
      </c>
      <c r="C91" s="19" t="s">
        <v>40</v>
      </c>
      <c r="D91" s="19">
        <v>1812.8000000000002</v>
      </c>
      <c r="E91" s="19">
        <f t="shared" si="12"/>
        <v>0.57921447484552413</v>
      </c>
      <c r="F91" s="19">
        <v>154.4</v>
      </c>
      <c r="G91" s="19">
        <f t="shared" si="7"/>
        <v>2.8497409326424972</v>
      </c>
      <c r="H91" s="19">
        <v>146.4</v>
      </c>
      <c r="I91" s="19">
        <f t="shared" si="8"/>
        <v>3.7568306010928865</v>
      </c>
      <c r="J91" s="19">
        <v>135</v>
      </c>
      <c r="K91" s="19">
        <f t="shared" si="9"/>
        <v>6.3703703703703596</v>
      </c>
      <c r="L91" s="79">
        <v>154.69999999999999</v>
      </c>
      <c r="M91" s="19">
        <f t="shared" si="10"/>
        <v>-206.03582302260799</v>
      </c>
      <c r="N91" s="86" t="str">
        <f t="shared" si="11"/>
        <v>COVID</v>
      </c>
    </row>
    <row r="92" spans="1:14" x14ac:dyDescent="0.55000000000000004">
      <c r="A92" s="14" t="s">
        <v>30</v>
      </c>
      <c r="B92" s="19">
        <v>2020</v>
      </c>
      <c r="C92" s="19" t="s">
        <v>41</v>
      </c>
      <c r="D92" s="19">
        <v>1823.3</v>
      </c>
      <c r="E92" s="19">
        <f t="shared" si="12"/>
        <v>2.2870619206932341</v>
      </c>
      <c r="F92" s="19">
        <v>158.80000000000001</v>
      </c>
      <c r="G92" s="19">
        <f t="shared" si="7"/>
        <v>-6.3602015113350285</v>
      </c>
      <c r="H92" s="19">
        <v>151.9</v>
      </c>
      <c r="I92" s="19">
        <f t="shared" si="8"/>
        <v>-4.8716260697827529</v>
      </c>
      <c r="J92" s="19">
        <v>143.6</v>
      </c>
      <c r="K92" s="19">
        <f t="shared" si="9"/>
        <v>-6.7548746518105718</v>
      </c>
      <c r="L92" s="78">
        <v>155.5</v>
      </c>
      <c r="M92" s="19">
        <f t="shared" si="10"/>
        <v>-150.85807996427545</v>
      </c>
      <c r="N92" s="86" t="str">
        <f t="shared" si="11"/>
        <v>COVID</v>
      </c>
    </row>
    <row r="93" spans="1:14" x14ac:dyDescent="0.55000000000000004">
      <c r="A93" s="14" t="s">
        <v>33</v>
      </c>
      <c r="B93" s="19">
        <v>2020</v>
      </c>
      <c r="C93" s="19" t="s">
        <v>41</v>
      </c>
      <c r="D93" s="19">
        <v>1864.9999999999998</v>
      </c>
      <c r="E93" s="19">
        <f t="shared" si="12"/>
        <v>-1.4369973190348495</v>
      </c>
      <c r="F93" s="19">
        <v>148.69999999999999</v>
      </c>
      <c r="G93" s="19">
        <f t="shared" si="7"/>
        <v>4.2367182246133339</v>
      </c>
      <c r="H93" s="19">
        <v>144.5</v>
      </c>
      <c r="I93" s="19">
        <f t="shared" si="8"/>
        <v>2.6989619377162599</v>
      </c>
      <c r="J93" s="19">
        <v>133.9</v>
      </c>
      <c r="K93" s="19">
        <f t="shared" si="9"/>
        <v>3.4353995519043945</v>
      </c>
      <c r="L93" s="79">
        <v>155.5</v>
      </c>
      <c r="M93" s="19">
        <f t="shared" si="10"/>
        <v>28.20436352221034</v>
      </c>
      <c r="N93" s="86" t="str">
        <f t="shared" si="11"/>
        <v>COVID</v>
      </c>
    </row>
    <row r="94" spans="1:14" x14ac:dyDescent="0.55000000000000004">
      <c r="A94" s="14" t="s">
        <v>34</v>
      </c>
      <c r="B94" s="19">
        <v>2020</v>
      </c>
      <c r="C94" s="19" t="s">
        <v>41</v>
      </c>
      <c r="D94" s="19">
        <v>1838.1999999999998</v>
      </c>
      <c r="E94" s="19">
        <f t="shared" si="12"/>
        <v>-0.37536720705036997</v>
      </c>
      <c r="F94" s="19">
        <v>155</v>
      </c>
      <c r="G94" s="19">
        <f t="shared" si="7"/>
        <v>2.645161290322573</v>
      </c>
      <c r="H94" s="19">
        <v>148.4</v>
      </c>
      <c r="I94" s="19">
        <f t="shared" si="8"/>
        <v>2.1563342318059231</v>
      </c>
      <c r="J94" s="19">
        <v>138.5</v>
      </c>
      <c r="K94" s="19">
        <f t="shared" si="9"/>
        <v>4.4043321299638949</v>
      </c>
      <c r="L94" s="78">
        <v>155.5</v>
      </c>
      <c r="M94" s="19">
        <f t="shared" si="10"/>
        <v>-249.16785706187801</v>
      </c>
      <c r="N94" s="86" t="str">
        <f t="shared" si="11"/>
        <v>COVID</v>
      </c>
    </row>
    <row r="95" spans="1:14" x14ac:dyDescent="0.55000000000000004">
      <c r="A95" s="14" t="s">
        <v>30</v>
      </c>
      <c r="B95" s="19">
        <v>2020</v>
      </c>
      <c r="C95" s="19" t="s">
        <v>42</v>
      </c>
      <c r="D95" s="19">
        <v>1831.3</v>
      </c>
      <c r="E95" s="19">
        <f t="shared" si="12"/>
        <v>2.6756948615737519</v>
      </c>
      <c r="F95" s="19">
        <v>159.1</v>
      </c>
      <c r="G95" s="19">
        <f t="shared" si="7"/>
        <v>-5.7196731615336223</v>
      </c>
      <c r="H95" s="19">
        <v>151.6</v>
      </c>
      <c r="I95" s="19">
        <f t="shared" si="8"/>
        <v>-4.0897097625329781</v>
      </c>
      <c r="J95" s="19">
        <v>144.6</v>
      </c>
      <c r="K95" s="19">
        <f t="shared" si="9"/>
        <v>-6.569847856154909</v>
      </c>
      <c r="L95" s="79">
        <v>156.30000000000001</v>
      </c>
      <c r="M95" s="19">
        <f t="shared" si="10"/>
        <v>-150.69928707779815</v>
      </c>
      <c r="N95" s="86" t="str">
        <f t="shared" si="11"/>
        <v>COVID</v>
      </c>
    </row>
    <row r="96" spans="1:14" x14ac:dyDescent="0.55000000000000004">
      <c r="A96" s="14" t="s">
        <v>33</v>
      </c>
      <c r="B96" s="19">
        <v>2020</v>
      </c>
      <c r="C96" s="19" t="s">
        <v>42</v>
      </c>
      <c r="D96" s="19">
        <v>1880.3000000000002</v>
      </c>
      <c r="E96" s="19">
        <f t="shared" si="12"/>
        <v>-1.6646279848960388</v>
      </c>
      <c r="F96" s="19">
        <v>150</v>
      </c>
      <c r="G96" s="19">
        <f t="shared" si="7"/>
        <v>3.7333333333333218</v>
      </c>
      <c r="H96" s="19">
        <v>145.4</v>
      </c>
      <c r="I96" s="19">
        <f t="shared" si="8"/>
        <v>2.2696011004126326</v>
      </c>
      <c r="J96" s="19">
        <v>135.1</v>
      </c>
      <c r="K96" s="19">
        <f t="shared" si="9"/>
        <v>3.3308660251665456</v>
      </c>
      <c r="L96" s="78">
        <v>156.30000000000001</v>
      </c>
      <c r="M96" s="19">
        <f t="shared" si="10"/>
        <v>46.240050939191612</v>
      </c>
      <c r="N96" s="86" t="str">
        <f t="shared" si="11"/>
        <v>COVID</v>
      </c>
    </row>
    <row r="97" spans="1:14" x14ac:dyDescent="0.55000000000000004">
      <c r="A97" s="14" t="s">
        <v>34</v>
      </c>
      <c r="B97" s="19">
        <v>2020</v>
      </c>
      <c r="C97" s="19" t="s">
        <v>42</v>
      </c>
      <c r="D97" s="19">
        <v>1849</v>
      </c>
      <c r="E97" s="19">
        <f t="shared" si="12"/>
        <v>1.2060573282855591</v>
      </c>
      <c r="F97" s="19">
        <v>155.6</v>
      </c>
      <c r="G97" s="19">
        <f t="shared" si="7"/>
        <v>2.5064267352185032</v>
      </c>
      <c r="H97" s="19">
        <v>148.69999999999999</v>
      </c>
      <c r="I97" s="19">
        <f t="shared" si="8"/>
        <v>2.21923335574985</v>
      </c>
      <c r="J97" s="19">
        <v>139.6</v>
      </c>
      <c r="K97" s="19">
        <f t="shared" si="9"/>
        <v>4.8710601719197832</v>
      </c>
      <c r="L97" s="79">
        <v>156.30000000000001</v>
      </c>
      <c r="M97" s="19">
        <f t="shared" si="10"/>
        <v>-254.25104468016681</v>
      </c>
      <c r="N97" s="86" t="str">
        <f t="shared" si="11"/>
        <v>COVID</v>
      </c>
    </row>
    <row r="98" spans="1:14" x14ac:dyDescent="0.55000000000000004">
      <c r="A98" s="14" t="s">
        <v>30</v>
      </c>
      <c r="B98" s="19">
        <v>2020</v>
      </c>
      <c r="C98" s="19" t="s">
        <v>43</v>
      </c>
      <c r="D98" s="19">
        <v>1871.3000000000002</v>
      </c>
      <c r="E98" s="19">
        <f t="shared" si="12"/>
        <v>2.3780259712499197</v>
      </c>
      <c r="F98" s="19">
        <v>159.5</v>
      </c>
      <c r="G98" s="19">
        <f t="shared" si="7"/>
        <v>-5.3291536050156685</v>
      </c>
      <c r="H98" s="19">
        <v>152</v>
      </c>
      <c r="I98" s="19">
        <f t="shared" si="8"/>
        <v>-4.5394736842105265</v>
      </c>
      <c r="J98" s="19">
        <v>146.4</v>
      </c>
      <c r="K98" s="19">
        <f t="shared" si="9"/>
        <v>-7.5136612021857951</v>
      </c>
      <c r="L98" s="78">
        <v>156.5</v>
      </c>
      <c r="M98" s="19">
        <f t="shared" si="10"/>
        <v>-151.1131999462871</v>
      </c>
      <c r="N98" s="86" t="str">
        <f t="shared" si="11"/>
        <v>COVID</v>
      </c>
    </row>
    <row r="99" spans="1:14" x14ac:dyDescent="0.55000000000000004">
      <c r="A99" s="14" t="s">
        <v>33</v>
      </c>
      <c r="B99" s="19">
        <v>2020</v>
      </c>
      <c r="C99" s="19" t="s">
        <v>43</v>
      </c>
      <c r="D99" s="19">
        <v>1915.8</v>
      </c>
      <c r="E99" s="19">
        <f t="shared" si="12"/>
        <v>-1.4928489403904233</v>
      </c>
      <c r="F99" s="19">
        <v>151</v>
      </c>
      <c r="G99" s="19">
        <f t="shared" si="7"/>
        <v>3.5099337748344395</v>
      </c>
      <c r="H99" s="19">
        <v>145.1</v>
      </c>
      <c r="I99" s="19">
        <f t="shared" si="8"/>
        <v>2.4810475534114307</v>
      </c>
      <c r="J99" s="19">
        <v>135.4</v>
      </c>
      <c r="K99" s="19">
        <f t="shared" si="9"/>
        <v>3.8404726735598249</v>
      </c>
      <c r="L99" s="79">
        <v>156.5</v>
      </c>
      <c r="M99" s="19">
        <f t="shared" si="10"/>
        <v>1.8574242258454277</v>
      </c>
      <c r="N99" s="86" t="str">
        <f t="shared" si="11"/>
        <v>COVID</v>
      </c>
    </row>
    <row r="100" spans="1:14" x14ac:dyDescent="0.55000000000000004">
      <c r="A100" s="14" t="s">
        <v>34</v>
      </c>
      <c r="B100" s="19">
        <v>2020</v>
      </c>
      <c r="C100" s="19" t="s">
        <v>43</v>
      </c>
      <c r="D100" s="19">
        <v>1887.2000000000003</v>
      </c>
      <c r="E100" s="19">
        <f t="shared" si="12"/>
        <v>1.6850360322170355</v>
      </c>
      <c r="F100" s="19">
        <v>156.30000000000001</v>
      </c>
      <c r="G100" s="19">
        <f t="shared" si="7"/>
        <v>2.6231605886116505</v>
      </c>
      <c r="H100" s="19">
        <v>148.69999999999999</v>
      </c>
      <c r="I100" s="19">
        <f t="shared" si="8"/>
        <v>2.757229320780108</v>
      </c>
      <c r="J100" s="19">
        <v>140.6</v>
      </c>
      <c r="K100" s="19">
        <f t="shared" si="9"/>
        <v>3.9118065433854987</v>
      </c>
      <c r="L100" s="78">
        <v>156.5</v>
      </c>
      <c r="M100" s="19">
        <f t="shared" si="10"/>
        <v>-290.72117478688307</v>
      </c>
      <c r="N100" s="86" t="str">
        <f t="shared" si="11"/>
        <v>COVID</v>
      </c>
    </row>
    <row r="101" spans="1:14" x14ac:dyDescent="0.55000000000000004">
      <c r="A101" s="14" t="s">
        <v>30</v>
      </c>
      <c r="B101" s="19">
        <v>2020</v>
      </c>
      <c r="C101" s="19" t="s">
        <v>45</v>
      </c>
      <c r="D101" s="19">
        <v>1919.0000000000002</v>
      </c>
      <c r="E101" s="19">
        <f t="shared" si="12"/>
        <v>1.8082334549244239</v>
      </c>
      <c r="F101" s="19">
        <v>160.4</v>
      </c>
      <c r="G101" s="19">
        <f t="shared" si="7"/>
        <v>-5.2369077306733232</v>
      </c>
      <c r="H101" s="19">
        <v>152.80000000000001</v>
      </c>
      <c r="I101" s="19">
        <f t="shared" si="8"/>
        <v>-5.039267015706816</v>
      </c>
      <c r="J101" s="19">
        <v>146.1</v>
      </c>
      <c r="K101" s="19">
        <f t="shared" si="9"/>
        <v>-7.4606433949349853</v>
      </c>
      <c r="L101" s="79">
        <v>158</v>
      </c>
      <c r="M101" s="19">
        <f t="shared" si="10"/>
        <v>-151.55257586450253</v>
      </c>
      <c r="N101" s="86" t="str">
        <f t="shared" si="11"/>
        <v>COVID</v>
      </c>
    </row>
    <row r="102" spans="1:14" x14ac:dyDescent="0.55000000000000004">
      <c r="A102" s="14" t="s">
        <v>33</v>
      </c>
      <c r="B102" s="19">
        <v>2020</v>
      </c>
      <c r="C102" s="19" t="s">
        <v>45</v>
      </c>
      <c r="D102" s="19">
        <v>1953.7</v>
      </c>
      <c r="E102" s="19">
        <f t="shared" si="12"/>
        <v>-1.1670164303628994</v>
      </c>
      <c r="F102" s="19">
        <v>152</v>
      </c>
      <c r="G102" s="19">
        <f t="shared" si="7"/>
        <v>3.4210526315789469</v>
      </c>
      <c r="H102" s="19">
        <v>145.1</v>
      </c>
      <c r="I102" s="19">
        <f t="shared" si="8"/>
        <v>2.8256374913852467</v>
      </c>
      <c r="J102" s="19">
        <v>135.19999999999999</v>
      </c>
      <c r="K102" s="19">
        <f t="shared" si="9"/>
        <v>3.8461538461538547</v>
      </c>
      <c r="L102" s="78">
        <v>158</v>
      </c>
      <c r="M102" s="19">
        <f t="shared" si="10"/>
        <v>11.11111111111105</v>
      </c>
      <c r="N102" s="86" t="str">
        <f t="shared" si="11"/>
        <v>COVID</v>
      </c>
    </row>
    <row r="103" spans="1:14" x14ac:dyDescent="0.55000000000000004">
      <c r="A103" s="14" t="s">
        <v>34</v>
      </c>
      <c r="B103" s="19">
        <v>2020</v>
      </c>
      <c r="C103" s="19" t="s">
        <v>45</v>
      </c>
      <c r="D103" s="19">
        <v>1930.9</v>
      </c>
      <c r="E103" s="19">
        <f t="shared" si="12"/>
        <v>0.26412553731420818</v>
      </c>
      <c r="F103" s="19">
        <v>157.19999999999999</v>
      </c>
      <c r="G103" s="19">
        <f t="shared" si="7"/>
        <v>2.7989821882951738</v>
      </c>
      <c r="H103" s="19">
        <v>149.19999999999999</v>
      </c>
      <c r="I103" s="19">
        <f t="shared" si="8"/>
        <v>2.8150134048257502</v>
      </c>
      <c r="J103" s="19">
        <v>140.4</v>
      </c>
      <c r="K103" s="19">
        <f t="shared" si="9"/>
        <v>4.2735042735042805</v>
      </c>
      <c r="L103" s="79">
        <v>158</v>
      </c>
      <c r="M103" s="19">
        <f t="shared" si="10"/>
        <v>-274.22131147540955</v>
      </c>
      <c r="N103" s="86" t="str">
        <f t="shared" si="11"/>
        <v>COVID</v>
      </c>
    </row>
    <row r="104" spans="1:14" x14ac:dyDescent="0.55000000000000004">
      <c r="A104" s="14" t="s">
        <v>30</v>
      </c>
      <c r="B104" s="19">
        <v>2020</v>
      </c>
      <c r="C104" s="19" t="s">
        <v>46</v>
      </c>
      <c r="D104" s="19">
        <v>1936</v>
      </c>
      <c r="E104" s="19">
        <f t="shared" si="12"/>
        <v>1.1570247933884392</v>
      </c>
      <c r="F104" s="19">
        <v>161.6</v>
      </c>
      <c r="G104" s="19">
        <f t="shared" si="7"/>
        <v>-5.3836633663366218</v>
      </c>
      <c r="H104" s="19">
        <v>153.4</v>
      </c>
      <c r="I104" s="19">
        <f t="shared" si="8"/>
        <v>-5.1499348109517618</v>
      </c>
      <c r="J104" s="19">
        <v>146.4</v>
      </c>
      <c r="K104" s="19">
        <f t="shared" si="9"/>
        <v>-7.4453551912568301</v>
      </c>
      <c r="L104" s="78">
        <v>158.4</v>
      </c>
      <c r="M104" s="19">
        <f t="shared" si="10"/>
        <v>-151.5440603947323</v>
      </c>
      <c r="N104" s="86" t="str">
        <f t="shared" si="11"/>
        <v>COVID</v>
      </c>
    </row>
    <row r="105" spans="1:14" x14ac:dyDescent="0.55000000000000004">
      <c r="A105" s="14" t="s">
        <v>33</v>
      </c>
      <c r="B105" s="19">
        <v>2020</v>
      </c>
      <c r="C105" s="19" t="s">
        <v>46</v>
      </c>
      <c r="D105" s="19">
        <v>1958.4</v>
      </c>
      <c r="E105" s="19">
        <f t="shared" si="12"/>
        <v>-0.75061274509804488</v>
      </c>
      <c r="F105" s="19">
        <v>152.9</v>
      </c>
      <c r="G105" s="19">
        <f t="shared" si="7"/>
        <v>3.5317200784826808</v>
      </c>
      <c r="H105" s="19">
        <v>145.5</v>
      </c>
      <c r="I105" s="19">
        <f t="shared" si="8"/>
        <v>2.8865979381443196</v>
      </c>
      <c r="J105" s="19">
        <v>135.5</v>
      </c>
      <c r="K105" s="19">
        <f t="shared" si="9"/>
        <v>3.8376383763837563</v>
      </c>
      <c r="L105" s="79">
        <v>158.4</v>
      </c>
      <c r="M105" s="19">
        <f t="shared" si="10"/>
        <v>25.936252801924773</v>
      </c>
      <c r="N105" s="86" t="str">
        <f t="shared" si="11"/>
        <v>COVID</v>
      </c>
    </row>
    <row r="106" spans="1:14" x14ac:dyDescent="0.55000000000000004">
      <c r="A106" s="14" t="s">
        <v>34</v>
      </c>
      <c r="B106" s="19">
        <v>2020</v>
      </c>
      <c r="C106" s="19" t="s">
        <v>46</v>
      </c>
      <c r="D106" s="19">
        <v>1943.7</v>
      </c>
      <c r="E106" s="19">
        <f t="shared" si="12"/>
        <v>-1.934454905592442</v>
      </c>
      <c r="F106" s="19">
        <v>158.30000000000001</v>
      </c>
      <c r="G106" s="19">
        <f t="shared" si="7"/>
        <v>2.653190145293749</v>
      </c>
      <c r="H106" s="19">
        <v>149.69999999999999</v>
      </c>
      <c r="I106" s="19">
        <f t="shared" si="8"/>
        <v>2.8056112224448926</v>
      </c>
      <c r="J106" s="19">
        <v>140.69999999999999</v>
      </c>
      <c r="K106" s="19">
        <f t="shared" si="9"/>
        <v>4.8329779673063289</v>
      </c>
      <c r="L106" s="78">
        <v>158.4</v>
      </c>
      <c r="M106" s="19">
        <f t="shared" si="10"/>
        <v>-248.69591226321023</v>
      </c>
      <c r="N106" s="86" t="str">
        <f t="shared" si="11"/>
        <v>COVID</v>
      </c>
    </row>
    <row r="107" spans="1:14" x14ac:dyDescent="0.55000000000000004">
      <c r="A107" s="14" t="s">
        <v>30</v>
      </c>
      <c r="B107" s="19">
        <v>2021</v>
      </c>
      <c r="C107" s="19" t="s">
        <v>31</v>
      </c>
      <c r="D107" s="19">
        <v>1906.0999999999997</v>
      </c>
      <c r="E107" s="19">
        <f t="shared" si="12"/>
        <v>1.4427364776244955</v>
      </c>
      <c r="F107" s="19">
        <v>162.5</v>
      </c>
      <c r="G107" s="19">
        <f t="shared" si="7"/>
        <v>-5.1692307692307704</v>
      </c>
      <c r="H107" s="19">
        <v>153.9</v>
      </c>
      <c r="I107" s="19">
        <f t="shared" si="8"/>
        <v>-5.328135152696567</v>
      </c>
      <c r="J107" s="19">
        <v>147.5</v>
      </c>
      <c r="K107" s="19">
        <f t="shared" si="9"/>
        <v>-7.1864406779660994</v>
      </c>
      <c r="L107" s="79">
        <v>157.69999999999999</v>
      </c>
      <c r="M107" s="19">
        <f t="shared" si="10"/>
        <v>-150.82211227035307</v>
      </c>
      <c r="N107" s="86" t="str">
        <f t="shared" si="11"/>
        <v>After</v>
      </c>
    </row>
    <row r="108" spans="1:14" x14ac:dyDescent="0.55000000000000004">
      <c r="A108" s="14" t="s">
        <v>33</v>
      </c>
      <c r="B108" s="19">
        <v>2021</v>
      </c>
      <c r="C108" s="19" t="s">
        <v>31</v>
      </c>
      <c r="D108" s="19">
        <v>1933.6000000000001</v>
      </c>
      <c r="E108" s="19">
        <f t="shared" si="12"/>
        <v>-0.93607778237486672</v>
      </c>
      <c r="F108" s="19">
        <v>154.1</v>
      </c>
      <c r="G108" s="19">
        <f t="shared" si="7"/>
        <v>3.3744321868916405</v>
      </c>
      <c r="H108" s="19">
        <v>145.69999999999999</v>
      </c>
      <c r="I108" s="19">
        <f t="shared" si="8"/>
        <v>2.9512697323267112</v>
      </c>
      <c r="J108" s="19">
        <v>136.9</v>
      </c>
      <c r="K108" s="19">
        <f t="shared" si="9"/>
        <v>3.6523009495982528</v>
      </c>
      <c r="L108" s="78">
        <v>157.69999999999999</v>
      </c>
      <c r="M108" s="19">
        <f t="shared" si="10"/>
        <v>60.150810429879733</v>
      </c>
      <c r="N108" s="86" t="str">
        <f t="shared" si="11"/>
        <v>After</v>
      </c>
    </row>
    <row r="109" spans="1:14" x14ac:dyDescent="0.55000000000000004">
      <c r="A109" s="14" t="s">
        <v>34</v>
      </c>
      <c r="B109" s="19">
        <v>2021</v>
      </c>
      <c r="C109" s="19" t="s">
        <v>31</v>
      </c>
      <c r="D109" s="19">
        <v>1915.4999999999998</v>
      </c>
      <c r="E109" s="19">
        <f t="shared" si="12"/>
        <v>-2.344035499869479</v>
      </c>
      <c r="F109" s="19">
        <v>159.30000000000001</v>
      </c>
      <c r="G109" s="19">
        <f t="shared" si="7"/>
        <v>3.1387319522912849</v>
      </c>
      <c r="H109" s="19">
        <v>150</v>
      </c>
      <c r="I109" s="19">
        <f t="shared" si="8"/>
        <v>3.2000000000000028</v>
      </c>
      <c r="J109" s="19">
        <v>141.9</v>
      </c>
      <c r="K109" s="19">
        <f t="shared" si="9"/>
        <v>5.8491895701197949</v>
      </c>
      <c r="L109" s="79">
        <v>157.69999999999999</v>
      </c>
      <c r="M109" s="19">
        <f t="shared" si="10"/>
        <v>-210.40941395408535</v>
      </c>
      <c r="N109" s="86" t="str">
        <f t="shared" si="11"/>
        <v>After</v>
      </c>
    </row>
    <row r="110" spans="1:14" x14ac:dyDescent="0.55000000000000004">
      <c r="A110" s="14" t="s">
        <v>30</v>
      </c>
      <c r="B110" s="19">
        <v>2021</v>
      </c>
      <c r="C110" s="19" t="s">
        <v>35</v>
      </c>
      <c r="D110" s="19">
        <v>1870.6</v>
      </c>
      <c r="E110" s="19">
        <f t="shared" si="12"/>
        <v>1.8496739014220109</v>
      </c>
      <c r="F110" s="19">
        <v>164.3</v>
      </c>
      <c r="G110" s="19">
        <f t="shared" si="7"/>
        <v>-4.8691418137553288</v>
      </c>
      <c r="H110" s="19">
        <v>154.80000000000001</v>
      </c>
      <c r="I110" s="19">
        <f t="shared" si="8"/>
        <v>-5.3617571059431546</v>
      </c>
      <c r="J110" s="19">
        <v>150.19999999999999</v>
      </c>
      <c r="K110" s="19">
        <f t="shared" si="9"/>
        <v>-6.458055925432749</v>
      </c>
      <c r="L110" s="78">
        <v>159.80000000000001</v>
      </c>
      <c r="M110" s="19">
        <f t="shared" si="10"/>
        <v>-150.69670176468426</v>
      </c>
      <c r="N110" s="86" t="str">
        <f t="shared" si="11"/>
        <v>After</v>
      </c>
    </row>
    <row r="111" spans="1:14" x14ac:dyDescent="0.55000000000000004">
      <c r="A111" s="14" t="s">
        <v>33</v>
      </c>
      <c r="B111" s="19">
        <v>2021</v>
      </c>
      <c r="C111" s="19" t="s">
        <v>35</v>
      </c>
      <c r="D111" s="19">
        <v>1905.2</v>
      </c>
      <c r="E111" s="19">
        <f t="shared" si="12"/>
        <v>-1.1967247533067327</v>
      </c>
      <c r="F111" s="19">
        <v>156.30000000000001</v>
      </c>
      <c r="G111" s="19">
        <f t="shared" si="7"/>
        <v>3.1989763275751759</v>
      </c>
      <c r="H111" s="19">
        <v>146.5</v>
      </c>
      <c r="I111" s="19">
        <f t="shared" si="8"/>
        <v>3.0034129692832812</v>
      </c>
      <c r="J111" s="19">
        <v>140.5</v>
      </c>
      <c r="K111" s="19">
        <f t="shared" si="9"/>
        <v>3.2740213523131612</v>
      </c>
      <c r="L111" s="79">
        <v>159.80000000000001</v>
      </c>
      <c r="M111" s="19">
        <f t="shared" si="10"/>
        <v>30.509693464777634</v>
      </c>
      <c r="N111" s="86" t="str">
        <f t="shared" si="11"/>
        <v>After</v>
      </c>
    </row>
    <row r="112" spans="1:14" x14ac:dyDescent="0.55000000000000004">
      <c r="A112" s="14" t="s">
        <v>34</v>
      </c>
      <c r="B112" s="19">
        <v>2021</v>
      </c>
      <c r="C112" s="19" t="s">
        <v>35</v>
      </c>
      <c r="D112" s="19">
        <v>1882.4</v>
      </c>
      <c r="E112" s="19">
        <f t="shared" si="12"/>
        <v>-0.59498512537187187</v>
      </c>
      <c r="F112" s="19">
        <v>161.30000000000001</v>
      </c>
      <c r="G112" s="19">
        <f t="shared" si="7"/>
        <v>2.0458772473651576</v>
      </c>
      <c r="H112" s="19">
        <v>150.9</v>
      </c>
      <c r="I112" s="19">
        <f t="shared" si="8"/>
        <v>2.5844930417495027</v>
      </c>
      <c r="J112" s="19">
        <v>145.1</v>
      </c>
      <c r="K112" s="19">
        <f t="shared" si="9"/>
        <v>4.2729152308752738</v>
      </c>
      <c r="L112" s="78">
        <v>159.80000000000001</v>
      </c>
      <c r="M112" s="19">
        <f t="shared" si="10"/>
        <v>-248.49369976334111</v>
      </c>
      <c r="N112" s="86" t="str">
        <f t="shared" si="11"/>
        <v>After</v>
      </c>
    </row>
    <row r="113" spans="1:14" x14ac:dyDescent="0.55000000000000004">
      <c r="A113" s="14" t="s">
        <v>30</v>
      </c>
      <c r="B113" s="19">
        <v>2021</v>
      </c>
      <c r="C113" s="19" t="s">
        <v>36</v>
      </c>
      <c r="D113" s="19">
        <v>1871.2</v>
      </c>
      <c r="E113" s="19">
        <f t="shared" si="12"/>
        <v>1.7582300128259787</v>
      </c>
      <c r="F113" s="19">
        <v>164.6</v>
      </c>
      <c r="G113" s="19">
        <f t="shared" si="7"/>
        <v>-4.6780072904009646</v>
      </c>
      <c r="H113" s="19">
        <v>154.80000000000001</v>
      </c>
      <c r="I113" s="19">
        <f t="shared" si="8"/>
        <v>-4.909560723514228</v>
      </c>
      <c r="J113" s="19">
        <v>151.30000000000001</v>
      </c>
      <c r="K113" s="19">
        <f t="shared" si="9"/>
        <v>-6.3450099140780036</v>
      </c>
      <c r="L113" s="79">
        <v>159.9</v>
      </c>
      <c r="M113" s="19">
        <f t="shared" si="10"/>
        <v>-150.05072335920943</v>
      </c>
      <c r="N113" s="86" t="str">
        <f t="shared" si="11"/>
        <v>After</v>
      </c>
    </row>
    <row r="114" spans="1:14" x14ac:dyDescent="0.55000000000000004">
      <c r="A114" s="14" t="s">
        <v>33</v>
      </c>
      <c r="B114" s="19">
        <v>2021</v>
      </c>
      <c r="C114" s="19" t="s">
        <v>36</v>
      </c>
      <c r="D114" s="19">
        <v>1904.0999999999997</v>
      </c>
      <c r="E114" s="19">
        <f t="shared" si="12"/>
        <v>-1.1238905519667997</v>
      </c>
      <c r="F114" s="19">
        <v>156.9</v>
      </c>
      <c r="G114" s="19">
        <f t="shared" si="7"/>
        <v>3.0592734225621365</v>
      </c>
      <c r="H114" s="19">
        <v>147.19999999999999</v>
      </c>
      <c r="I114" s="19">
        <f t="shared" si="8"/>
        <v>2.7173913043478271</v>
      </c>
      <c r="J114" s="19">
        <v>141.69999999999999</v>
      </c>
      <c r="K114" s="19">
        <f t="shared" si="9"/>
        <v>3.1757233592095924</v>
      </c>
      <c r="L114" s="78">
        <v>159.9</v>
      </c>
      <c r="M114" s="19">
        <f t="shared" si="10"/>
        <v>18.460252317981407</v>
      </c>
      <c r="N114" s="86" t="str">
        <f t="shared" si="11"/>
        <v>After</v>
      </c>
    </row>
    <row r="115" spans="1:14" x14ac:dyDescent="0.55000000000000004">
      <c r="A115" s="14" t="s">
        <v>34</v>
      </c>
      <c r="B115" s="19">
        <v>2021</v>
      </c>
      <c r="C115" s="19" t="s">
        <v>36</v>
      </c>
      <c r="D115" s="19">
        <v>1882.6999999999998</v>
      </c>
      <c r="E115" s="19">
        <f t="shared" si="12"/>
        <v>0.59489031709780704</v>
      </c>
      <c r="F115" s="19">
        <v>161.69999999999999</v>
      </c>
      <c r="G115" s="19">
        <f t="shared" si="7"/>
        <v>2.2263450834879572</v>
      </c>
      <c r="H115" s="19">
        <v>151.19999999999999</v>
      </c>
      <c r="I115" s="19">
        <f t="shared" si="8"/>
        <v>2.8439153439153486</v>
      </c>
      <c r="J115" s="19">
        <v>146.19999999999999</v>
      </c>
      <c r="K115" s="19">
        <f t="shared" si="9"/>
        <v>3.7619699042407584</v>
      </c>
      <c r="L115" s="79">
        <v>159.9</v>
      </c>
      <c r="M115" s="19">
        <f t="shared" si="10"/>
        <v>-268.21717504644357</v>
      </c>
      <c r="N115" s="86" t="str">
        <f t="shared" si="11"/>
        <v>After</v>
      </c>
    </row>
    <row r="116" spans="1:14" x14ac:dyDescent="0.55000000000000004">
      <c r="A116" s="14" t="s">
        <v>30</v>
      </c>
      <c r="B116" s="19">
        <v>2021</v>
      </c>
      <c r="C116" s="19" t="s">
        <v>37</v>
      </c>
      <c r="D116" s="19">
        <v>1893.9</v>
      </c>
      <c r="E116" s="19">
        <f t="shared" si="12"/>
        <v>1.7793970114578395</v>
      </c>
      <c r="F116" s="19">
        <v>165.3</v>
      </c>
      <c r="G116" s="19">
        <f t="shared" si="7"/>
        <v>-4.7186932849364815</v>
      </c>
      <c r="H116" s="19">
        <v>155.5</v>
      </c>
      <c r="I116" s="19">
        <f t="shared" si="8"/>
        <v>-5.0803858520900409</v>
      </c>
      <c r="J116" s="19">
        <v>151.69999999999999</v>
      </c>
      <c r="K116" s="19">
        <f t="shared" si="9"/>
        <v>-6.3282794990112023</v>
      </c>
      <c r="L116" s="78">
        <v>161.4</v>
      </c>
      <c r="M116" s="19">
        <f t="shared" si="10"/>
        <v>-150.04178395496149</v>
      </c>
      <c r="N116" s="86" t="str">
        <f t="shared" si="11"/>
        <v>After</v>
      </c>
    </row>
    <row r="117" spans="1:14" x14ac:dyDescent="0.55000000000000004">
      <c r="A117" s="14" t="s">
        <v>33</v>
      </c>
      <c r="B117" s="19">
        <v>2021</v>
      </c>
      <c r="C117" s="19" t="s">
        <v>37</v>
      </c>
      <c r="D117" s="19">
        <v>1927.6</v>
      </c>
      <c r="E117" s="19">
        <f t="shared" si="12"/>
        <v>-1.1153766341564619</v>
      </c>
      <c r="F117" s="19">
        <v>157.5</v>
      </c>
      <c r="G117" s="19">
        <f t="shared" si="7"/>
        <v>3.0476190476190546</v>
      </c>
      <c r="H117" s="19">
        <v>147.6</v>
      </c>
      <c r="I117" s="19">
        <f t="shared" si="8"/>
        <v>2.8455284552845628</v>
      </c>
      <c r="J117" s="19">
        <v>142.1</v>
      </c>
      <c r="K117" s="19">
        <f t="shared" si="9"/>
        <v>3.1667839549613053</v>
      </c>
      <c r="L117" s="79">
        <v>161.4</v>
      </c>
      <c r="M117" s="19">
        <f t="shared" si="10"/>
        <v>42.164620281945474</v>
      </c>
      <c r="N117" s="86" t="str">
        <f t="shared" si="11"/>
        <v>After</v>
      </c>
    </row>
    <row r="118" spans="1:14" x14ac:dyDescent="0.55000000000000004">
      <c r="A118" s="14" t="s">
        <v>34</v>
      </c>
      <c r="B118" s="19">
        <v>2021</v>
      </c>
      <c r="C118" s="19" t="s">
        <v>37</v>
      </c>
      <c r="D118" s="19">
        <v>1906.1</v>
      </c>
      <c r="E118" s="19">
        <f t="shared" si="12"/>
        <v>1.6001259115471456</v>
      </c>
      <c r="F118" s="19">
        <v>162.30000000000001</v>
      </c>
      <c r="G118" s="19">
        <f t="shared" si="7"/>
        <v>4.1897720271102834</v>
      </c>
      <c r="H118" s="19">
        <v>151.80000000000001</v>
      </c>
      <c r="I118" s="19">
        <f t="shared" si="8"/>
        <v>4.6113306982872304</v>
      </c>
      <c r="J118" s="19">
        <v>146.6</v>
      </c>
      <c r="K118" s="19">
        <f t="shared" si="9"/>
        <v>4.5020463847203152</v>
      </c>
      <c r="L118" s="78">
        <v>161.4</v>
      </c>
      <c r="M118" s="19">
        <f t="shared" si="10"/>
        <v>-218.88994382466973</v>
      </c>
      <c r="N118" s="86" t="str">
        <f t="shared" si="11"/>
        <v>After</v>
      </c>
    </row>
    <row r="119" spans="1:14" x14ac:dyDescent="0.55000000000000004">
      <c r="A119" s="14" t="s">
        <v>30</v>
      </c>
      <c r="B119" s="19">
        <v>2021</v>
      </c>
      <c r="C119" s="19" t="s">
        <v>38</v>
      </c>
      <c r="D119" s="19">
        <v>1936.6</v>
      </c>
      <c r="E119" s="19">
        <f t="shared" si="12"/>
        <v>1.2341216565114221</v>
      </c>
      <c r="F119" s="19">
        <v>169.1</v>
      </c>
      <c r="G119" s="19">
        <f t="shared" si="7"/>
        <v>-5.1448846836191553</v>
      </c>
      <c r="H119" s="19">
        <v>158.80000000000001</v>
      </c>
      <c r="I119" s="19">
        <f t="shared" si="8"/>
        <v>-5.4785894206549219</v>
      </c>
      <c r="J119" s="19">
        <v>153.19999999999999</v>
      </c>
      <c r="K119" s="19">
        <f t="shared" si="9"/>
        <v>-5.3524804177545571</v>
      </c>
      <c r="L119" s="79">
        <v>161.6</v>
      </c>
      <c r="M119" s="19">
        <f t="shared" si="10"/>
        <v>-150.25063078217005</v>
      </c>
      <c r="N119" s="86" t="str">
        <f t="shared" si="11"/>
        <v>After</v>
      </c>
    </row>
    <row r="120" spans="1:14" x14ac:dyDescent="0.55000000000000004">
      <c r="A120" s="14" t="s">
        <v>33</v>
      </c>
      <c r="B120" s="19">
        <v>2021</v>
      </c>
      <c r="C120" s="19" t="s">
        <v>38</v>
      </c>
      <c r="D120" s="19">
        <v>1960.5000000000002</v>
      </c>
      <c r="E120" s="19">
        <f t="shared" si="12"/>
        <v>-0.7906146391226776</v>
      </c>
      <c r="F120" s="19">
        <v>160.4</v>
      </c>
      <c r="G120" s="19">
        <f t="shared" si="7"/>
        <v>3.366583541147139</v>
      </c>
      <c r="H120" s="19">
        <v>150.1</v>
      </c>
      <c r="I120" s="19">
        <f t="shared" si="8"/>
        <v>3.0646235842771485</v>
      </c>
      <c r="J120" s="19">
        <v>145</v>
      </c>
      <c r="K120" s="19">
        <f t="shared" si="9"/>
        <v>2.6896551724137963</v>
      </c>
      <c r="L120" s="78">
        <v>161.6</v>
      </c>
      <c r="M120" s="19">
        <f t="shared" si="10"/>
        <v>32.338000034440384</v>
      </c>
      <c r="N120" s="86" t="str">
        <f t="shared" si="11"/>
        <v>After</v>
      </c>
    </row>
    <row r="121" spans="1:14" x14ac:dyDescent="0.55000000000000004">
      <c r="A121" s="14" t="s">
        <v>34</v>
      </c>
      <c r="B121" s="19">
        <v>2021</v>
      </c>
      <c r="C121" s="19" t="s">
        <v>38</v>
      </c>
      <c r="D121" s="19">
        <v>1945.0000000000002</v>
      </c>
      <c r="E121" s="19">
        <f t="shared" si="12"/>
        <v>0.87917737789200423</v>
      </c>
      <c r="F121" s="19">
        <v>165.8</v>
      </c>
      <c r="G121" s="19">
        <f t="shared" si="7"/>
        <v>2.3522316043425695</v>
      </c>
      <c r="H121" s="19">
        <v>154.69999999999999</v>
      </c>
      <c r="I121" s="19">
        <f t="shared" si="8"/>
        <v>2.9088558500323103</v>
      </c>
      <c r="J121" s="19">
        <v>148.9</v>
      </c>
      <c r="K121" s="19">
        <f t="shared" si="9"/>
        <v>3.5594358629952971</v>
      </c>
      <c r="L121" s="79">
        <v>161.6</v>
      </c>
      <c r="M121" s="19">
        <f t="shared" si="10"/>
        <v>-222.07008785453826</v>
      </c>
      <c r="N121" s="86" t="str">
        <f t="shared" si="11"/>
        <v>After</v>
      </c>
    </row>
    <row r="122" spans="1:14" x14ac:dyDescent="0.55000000000000004">
      <c r="A122" s="14" t="s">
        <v>30</v>
      </c>
      <c r="B122" s="19">
        <v>2021</v>
      </c>
      <c r="C122" s="19" t="s">
        <v>39</v>
      </c>
      <c r="D122" s="19">
        <v>1962.1</v>
      </c>
      <c r="E122" s="19">
        <f t="shared" si="12"/>
        <v>1.320014270424541</v>
      </c>
      <c r="F122" s="19">
        <v>169.7</v>
      </c>
      <c r="G122" s="19">
        <f t="shared" si="7"/>
        <v>-5.2445492044784769</v>
      </c>
      <c r="H122" s="19">
        <v>159.19999999999999</v>
      </c>
      <c r="I122" s="19">
        <f t="shared" si="8"/>
        <v>-5.9045226130653106</v>
      </c>
      <c r="J122" s="19">
        <v>154.19999999999999</v>
      </c>
      <c r="K122" s="19">
        <f t="shared" si="9"/>
        <v>-4.3450064850843013</v>
      </c>
      <c r="L122" s="78">
        <v>160.5</v>
      </c>
      <c r="M122" s="19">
        <f t="shared" si="10"/>
        <v>-149.93068555527424</v>
      </c>
      <c r="N122" s="86" t="str">
        <f t="shared" si="11"/>
        <v>After</v>
      </c>
    </row>
    <row r="123" spans="1:14" x14ac:dyDescent="0.55000000000000004">
      <c r="A123" s="14" t="s">
        <v>33</v>
      </c>
      <c r="B123" s="19">
        <v>2021</v>
      </c>
      <c r="C123" s="19" t="s">
        <v>39</v>
      </c>
      <c r="D123" s="19">
        <v>1988</v>
      </c>
      <c r="E123" s="19">
        <f t="shared" si="12"/>
        <v>-0.84004024144869183</v>
      </c>
      <c r="F123" s="19">
        <v>160.80000000000001</v>
      </c>
      <c r="G123" s="19">
        <f t="shared" si="7"/>
        <v>3.4203980099502429</v>
      </c>
      <c r="H123" s="19">
        <v>149.80000000000001</v>
      </c>
      <c r="I123" s="19">
        <f t="shared" si="8"/>
        <v>3.3377837116154829</v>
      </c>
      <c r="J123" s="19">
        <v>147.5</v>
      </c>
      <c r="K123" s="19">
        <f t="shared" si="9"/>
        <v>2.1694915254237168</v>
      </c>
      <c r="L123" s="79">
        <v>160.5</v>
      </c>
      <c r="M123" s="19">
        <f t="shared" si="10"/>
        <v>95.753151957532907</v>
      </c>
      <c r="N123" s="86" t="str">
        <f t="shared" si="11"/>
        <v>After</v>
      </c>
    </row>
    <row r="124" spans="1:14" x14ac:dyDescent="0.55000000000000004">
      <c r="A124" s="14" t="s">
        <v>34</v>
      </c>
      <c r="B124" s="19">
        <v>2021</v>
      </c>
      <c r="C124" s="19" t="s">
        <v>39</v>
      </c>
      <c r="D124" s="19">
        <v>1971.3</v>
      </c>
      <c r="E124" s="19">
        <f t="shared" si="12"/>
        <v>-3.0436767615271698E-2</v>
      </c>
      <c r="F124" s="19">
        <v>166.3</v>
      </c>
      <c r="G124" s="19">
        <f t="shared" si="7"/>
        <v>2.4654239326518335</v>
      </c>
      <c r="H124" s="19">
        <v>154.80000000000001</v>
      </c>
      <c r="I124" s="19">
        <f t="shared" si="8"/>
        <v>3.5529715762273817</v>
      </c>
      <c r="J124" s="19">
        <v>150.69999999999999</v>
      </c>
      <c r="K124" s="19">
        <f t="shared" si="9"/>
        <v>4.2468480424684873</v>
      </c>
      <c r="L124" s="78">
        <v>160.5</v>
      </c>
      <c r="M124" s="19">
        <f t="shared" si="10"/>
        <v>-213.9123169955441</v>
      </c>
      <c r="N124" s="86" t="str">
        <f t="shared" si="11"/>
        <v>After</v>
      </c>
    </row>
    <row r="125" spans="1:14" x14ac:dyDescent="0.55000000000000004">
      <c r="A125" s="14" t="s">
        <v>30</v>
      </c>
      <c r="B125" s="19">
        <v>2021</v>
      </c>
      <c r="C125" s="19" t="s">
        <v>40</v>
      </c>
      <c r="D125" s="19">
        <v>1970.7</v>
      </c>
      <c r="E125" s="19">
        <f t="shared" si="12"/>
        <v>1.6846805703557344</v>
      </c>
      <c r="F125" s="19">
        <v>170.4</v>
      </c>
      <c r="G125" s="19">
        <f t="shared" si="7"/>
        <v>-5.2230046948356872</v>
      </c>
      <c r="H125" s="19">
        <v>160.30000000000001</v>
      </c>
      <c r="I125" s="19">
        <f t="shared" si="8"/>
        <v>-5.988771054273256</v>
      </c>
      <c r="J125" s="19">
        <v>157.1</v>
      </c>
      <c r="K125" s="19">
        <f t="shared" si="9"/>
        <v>-4.8376830044557622</v>
      </c>
      <c r="L125" s="79">
        <v>161.5</v>
      </c>
      <c r="M125" s="19">
        <f t="shared" si="10"/>
        <v>-149.77644780848419</v>
      </c>
      <c r="N125" s="86" t="str">
        <f t="shared" si="11"/>
        <v>After</v>
      </c>
    </row>
    <row r="126" spans="1:14" x14ac:dyDescent="0.55000000000000004">
      <c r="A126" s="14" t="s">
        <v>33</v>
      </c>
      <c r="B126" s="19">
        <v>2021</v>
      </c>
      <c r="C126" s="19" t="s">
        <v>40</v>
      </c>
      <c r="D126" s="19">
        <v>2003.9000000000003</v>
      </c>
      <c r="E126" s="19">
        <f t="shared" si="12"/>
        <v>-1.0429662158790376</v>
      </c>
      <c r="F126" s="19">
        <v>161.5</v>
      </c>
      <c r="G126" s="19">
        <f t="shared" si="7"/>
        <v>3.4055727554179516</v>
      </c>
      <c r="H126" s="19">
        <v>150.69999999999999</v>
      </c>
      <c r="I126" s="19">
        <f t="shared" si="8"/>
        <v>3.3842070338420793</v>
      </c>
      <c r="J126" s="19">
        <v>149.5</v>
      </c>
      <c r="K126" s="19">
        <f t="shared" si="9"/>
        <v>2.4080267558528323</v>
      </c>
      <c r="L126" s="78">
        <v>161.5</v>
      </c>
      <c r="M126" s="19">
        <f t="shared" si="10"/>
        <v>24.773205602729508</v>
      </c>
      <c r="N126" s="86" t="str">
        <f t="shared" si="11"/>
        <v>After</v>
      </c>
    </row>
    <row r="127" spans="1:14" x14ac:dyDescent="0.55000000000000004">
      <c r="A127" s="14" t="s">
        <v>34</v>
      </c>
      <c r="B127" s="19">
        <v>2021</v>
      </c>
      <c r="C127" s="19" t="s">
        <v>40</v>
      </c>
      <c r="D127" s="19">
        <v>1983.0000000000002</v>
      </c>
      <c r="E127" s="19">
        <f t="shared" si="12"/>
        <v>-0.70600100857287629</v>
      </c>
      <c r="F127" s="19">
        <v>167</v>
      </c>
      <c r="G127" s="19">
        <f t="shared" si="7"/>
        <v>2.4550898203592686</v>
      </c>
      <c r="H127" s="19">
        <v>155.80000000000001</v>
      </c>
      <c r="I127" s="19">
        <f t="shared" si="8"/>
        <v>3.2734274711168077</v>
      </c>
      <c r="J127" s="19">
        <v>153.1</v>
      </c>
      <c r="K127" s="19">
        <f t="shared" si="9"/>
        <v>3.0045721750489918</v>
      </c>
      <c r="L127" s="79">
        <v>161.5</v>
      </c>
      <c r="M127" s="19">
        <f t="shared" si="10"/>
        <v>-254.06660968818011</v>
      </c>
      <c r="N127" s="86" t="str">
        <f t="shared" si="11"/>
        <v>After</v>
      </c>
    </row>
    <row r="128" spans="1:14" x14ac:dyDescent="0.55000000000000004">
      <c r="A128" s="14" t="s">
        <v>30</v>
      </c>
      <c r="B128" s="19">
        <v>2021</v>
      </c>
      <c r="C128" s="19" t="s">
        <v>41</v>
      </c>
      <c r="D128" s="19">
        <v>1969</v>
      </c>
      <c r="E128" s="19">
        <f t="shared" si="12"/>
        <v>1.0970035551041146</v>
      </c>
      <c r="F128" s="19">
        <v>171.1</v>
      </c>
      <c r="G128" s="19">
        <f t="shared" si="7"/>
        <v>-4.8509643483342968</v>
      </c>
      <c r="H128" s="19">
        <v>160.9</v>
      </c>
      <c r="I128" s="19">
        <f t="shared" si="8"/>
        <v>-4.7855811062772036</v>
      </c>
      <c r="J128" s="19">
        <v>157.69999999999999</v>
      </c>
      <c r="K128" s="19">
        <f t="shared" si="9"/>
        <v>-4.6290424857323931</v>
      </c>
      <c r="L128" s="78">
        <v>162.1</v>
      </c>
      <c r="M128" s="19">
        <f t="shared" si="10"/>
        <v>-151.70868551442715</v>
      </c>
      <c r="N128" s="86" t="str">
        <f t="shared" si="11"/>
        <v>After</v>
      </c>
    </row>
    <row r="129" spans="1:14" x14ac:dyDescent="0.55000000000000004">
      <c r="A129" s="14" t="s">
        <v>33</v>
      </c>
      <c r="B129" s="19">
        <v>2021</v>
      </c>
      <c r="C129" s="19" t="s">
        <v>41</v>
      </c>
      <c r="D129" s="19">
        <v>1990.6</v>
      </c>
      <c r="E129" s="19">
        <f t="shared" si="12"/>
        <v>-0.63297498241734473</v>
      </c>
      <c r="F129" s="19">
        <v>162.80000000000001</v>
      </c>
      <c r="G129" s="19">
        <f t="shared" si="7"/>
        <v>3.4398034398034349</v>
      </c>
      <c r="H129" s="19">
        <v>153.19999999999999</v>
      </c>
      <c r="I129" s="19">
        <f t="shared" si="8"/>
        <v>2.8067885117493585</v>
      </c>
      <c r="J129" s="19">
        <v>150.4</v>
      </c>
      <c r="K129" s="19">
        <f t="shared" si="9"/>
        <v>2.3936170212765839</v>
      </c>
      <c r="L129" s="79">
        <v>162.1</v>
      </c>
      <c r="M129" s="19">
        <f t="shared" si="10"/>
        <v>3.0880230880243165</v>
      </c>
      <c r="N129" s="86" t="str">
        <f t="shared" si="11"/>
        <v>After</v>
      </c>
    </row>
    <row r="130" spans="1:14" x14ac:dyDescent="0.55000000000000004">
      <c r="A130" s="14" t="s">
        <v>34</v>
      </c>
      <c r="B130" s="19">
        <v>2021</v>
      </c>
      <c r="C130" s="19" t="s">
        <v>41</v>
      </c>
      <c r="D130" s="19">
        <v>1978.0000000000002</v>
      </c>
      <c r="E130" s="19">
        <f t="shared" si="12"/>
        <v>-0.32861476238625897</v>
      </c>
      <c r="F130" s="19">
        <v>168.4</v>
      </c>
      <c r="G130" s="19">
        <f t="shared" si="7"/>
        <v>2.0783847980997638</v>
      </c>
      <c r="H130" s="19">
        <v>157.5</v>
      </c>
      <c r="I130" s="19">
        <f t="shared" si="8"/>
        <v>2.4126984126984219</v>
      </c>
      <c r="J130" s="19">
        <v>154</v>
      </c>
      <c r="K130" s="19">
        <f t="shared" si="9"/>
        <v>2.467532467532485</v>
      </c>
      <c r="L130" s="78">
        <v>162.1</v>
      </c>
      <c r="M130" s="19">
        <f t="shared" si="10"/>
        <v>-287.47915415916117</v>
      </c>
      <c r="N130" s="86" t="str">
        <f t="shared" si="11"/>
        <v>After</v>
      </c>
    </row>
    <row r="131" spans="1:14" x14ac:dyDescent="0.55000000000000004">
      <c r="A131" s="14" t="s">
        <v>30</v>
      </c>
      <c r="B131" s="19">
        <v>2021</v>
      </c>
      <c r="C131" s="19" t="s">
        <v>42</v>
      </c>
      <c r="D131" s="19">
        <v>1971.5</v>
      </c>
      <c r="E131" s="19">
        <f t="shared" si="12"/>
        <v>0.96880547806239559</v>
      </c>
      <c r="F131" s="19">
        <v>171.9</v>
      </c>
      <c r="G131" s="19">
        <f t="shared" ref="G131:G178" si="13">(F132/F131-1)*100</f>
        <v>-5.2937754508435075</v>
      </c>
      <c r="H131" s="19">
        <v>161.30000000000001</v>
      </c>
      <c r="I131" s="19">
        <f t="shared" ref="I131:I178" si="14">(H132/H131-1)*100</f>
        <v>-4.9597024178549276</v>
      </c>
      <c r="J131" s="19">
        <v>157.80000000000001</v>
      </c>
      <c r="K131" s="19">
        <f t="shared" ref="K131:K178" si="15">(J132/J131-1)*100</f>
        <v>-4.6261089987325814</v>
      </c>
      <c r="L131" s="79">
        <v>162.1</v>
      </c>
      <c r="M131" s="19">
        <f t="shared" ref="M131:M178" si="16">(K132/K131-1)*100</f>
        <v>-150.27078687480088</v>
      </c>
      <c r="N131" s="86" t="str">
        <f t="shared" ref="N131:N178" si="17">IF(B131&lt;2020, "Before", IF(B131=2020, "COVID", IF(B131&lt;=2022, "After", "After 2022")))</f>
        <v>After</v>
      </c>
    </row>
    <row r="132" spans="1:14" x14ac:dyDescent="0.55000000000000004">
      <c r="A132" s="14" t="s">
        <v>33</v>
      </c>
      <c r="B132" s="19">
        <v>2021</v>
      </c>
      <c r="C132" s="19" t="s">
        <v>42</v>
      </c>
      <c r="D132" s="19">
        <v>1990.6000000000001</v>
      </c>
      <c r="E132" s="19">
        <f t="shared" si="12"/>
        <v>-0.63297498241736694</v>
      </c>
      <c r="F132" s="19">
        <v>162.80000000000001</v>
      </c>
      <c r="G132" s="19">
        <f t="shared" si="13"/>
        <v>3.4398034398034349</v>
      </c>
      <c r="H132" s="19">
        <v>153.30000000000001</v>
      </c>
      <c r="I132" s="19">
        <f t="shared" si="14"/>
        <v>2.739726027397249</v>
      </c>
      <c r="J132" s="19">
        <v>150.5</v>
      </c>
      <c r="K132" s="19">
        <f t="shared" si="15"/>
        <v>2.3255813953488413</v>
      </c>
      <c r="L132" s="78">
        <v>162.1</v>
      </c>
      <c r="M132" s="19">
        <f t="shared" si="16"/>
        <v>53.571428571428712</v>
      </c>
      <c r="N132" s="86" t="str">
        <f t="shared" si="17"/>
        <v>After</v>
      </c>
    </row>
    <row r="133" spans="1:14" x14ac:dyDescent="0.55000000000000004">
      <c r="A133" s="14" t="s">
        <v>34</v>
      </c>
      <c r="B133" s="19">
        <v>2021</v>
      </c>
      <c r="C133" s="19" t="s">
        <v>42</v>
      </c>
      <c r="D133" s="19">
        <v>1978</v>
      </c>
      <c r="E133" s="19">
        <f t="shared" si="12"/>
        <v>1.0465116279069653</v>
      </c>
      <c r="F133" s="19">
        <v>168.4</v>
      </c>
      <c r="G133" s="19">
        <f t="shared" si="13"/>
        <v>2.4346793349168561</v>
      </c>
      <c r="H133" s="19">
        <v>157.5</v>
      </c>
      <c r="I133" s="19">
        <f t="shared" si="14"/>
        <v>2.857142857142847</v>
      </c>
      <c r="J133" s="19">
        <v>154</v>
      </c>
      <c r="K133" s="19">
        <f t="shared" si="15"/>
        <v>3.5714285714285809</v>
      </c>
      <c r="L133" s="79">
        <v>162.1</v>
      </c>
      <c r="M133" s="19">
        <f t="shared" si="16"/>
        <v>-228.15047021943556</v>
      </c>
      <c r="N133" s="86" t="str">
        <f t="shared" si="17"/>
        <v>After</v>
      </c>
    </row>
    <row r="134" spans="1:14" x14ac:dyDescent="0.55000000000000004">
      <c r="A134" s="14" t="s">
        <v>30</v>
      </c>
      <c r="B134" s="19">
        <v>2021</v>
      </c>
      <c r="C134" s="19" t="s">
        <v>43</v>
      </c>
      <c r="D134" s="19">
        <v>1998.6999999999998</v>
      </c>
      <c r="E134" s="19">
        <f t="shared" si="12"/>
        <v>1.4109170961124962</v>
      </c>
      <c r="F134" s="19">
        <v>172.5</v>
      </c>
      <c r="G134" s="19">
        <f t="shared" si="13"/>
        <v>-5.2173913043478297</v>
      </c>
      <c r="H134" s="19">
        <v>162</v>
      </c>
      <c r="I134" s="19">
        <f t="shared" si="14"/>
        <v>-4.7530864197530835</v>
      </c>
      <c r="J134" s="19">
        <v>159.5</v>
      </c>
      <c r="K134" s="19">
        <f t="shared" si="15"/>
        <v>-4.5768025078369963</v>
      </c>
      <c r="L134" s="78">
        <v>163.6</v>
      </c>
      <c r="M134" s="19">
        <f t="shared" si="16"/>
        <v>-150.24481126131795</v>
      </c>
      <c r="N134" s="86" t="str">
        <f t="shared" si="17"/>
        <v>After</v>
      </c>
    </row>
    <row r="135" spans="1:14" x14ac:dyDescent="0.55000000000000004">
      <c r="A135" s="14" t="s">
        <v>33</v>
      </c>
      <c r="B135" s="19">
        <v>2021</v>
      </c>
      <c r="C135" s="19" t="s">
        <v>43</v>
      </c>
      <c r="D135" s="19">
        <v>2026.9000000000003</v>
      </c>
      <c r="E135" s="19">
        <f t="shared" si="12"/>
        <v>-0.94232571907840734</v>
      </c>
      <c r="F135" s="19">
        <v>163.5</v>
      </c>
      <c r="G135" s="19">
        <f t="shared" si="13"/>
        <v>3.425076452599396</v>
      </c>
      <c r="H135" s="19">
        <v>154.30000000000001</v>
      </c>
      <c r="I135" s="19">
        <f t="shared" si="14"/>
        <v>2.657161373946848</v>
      </c>
      <c r="J135" s="19">
        <v>152.19999999999999</v>
      </c>
      <c r="K135" s="19">
        <f t="shared" si="15"/>
        <v>2.2996057818659654</v>
      </c>
      <c r="L135" s="79">
        <v>163.6</v>
      </c>
      <c r="M135" s="19">
        <f t="shared" si="16"/>
        <v>-10.626662996604686</v>
      </c>
      <c r="N135" s="86" t="str">
        <f t="shared" si="17"/>
        <v>After</v>
      </c>
    </row>
    <row r="136" spans="1:14" x14ac:dyDescent="0.55000000000000004">
      <c r="A136" s="14" t="s">
        <v>34</v>
      </c>
      <c r="B136" s="19">
        <v>2021</v>
      </c>
      <c r="C136" s="19" t="s">
        <v>43</v>
      </c>
      <c r="D136" s="19">
        <v>2007.8000000000002</v>
      </c>
      <c r="E136" s="19">
        <f t="shared" si="12"/>
        <v>0.33369857555531901</v>
      </c>
      <c r="F136" s="19">
        <v>169.1</v>
      </c>
      <c r="G136" s="19">
        <f t="shared" si="13"/>
        <v>2.5428740390301741</v>
      </c>
      <c r="H136" s="19">
        <v>158.4</v>
      </c>
      <c r="I136" s="19">
        <f t="shared" si="14"/>
        <v>2.8409090909090828</v>
      </c>
      <c r="J136" s="19">
        <v>155.69999999999999</v>
      </c>
      <c r="K136" s="19">
        <f t="shared" si="15"/>
        <v>2.055234425176633</v>
      </c>
      <c r="L136" s="78">
        <v>163.6</v>
      </c>
      <c r="M136" s="19">
        <f t="shared" si="16"/>
        <v>-335.7791850220259</v>
      </c>
      <c r="N136" s="86" t="str">
        <f t="shared" si="17"/>
        <v>After</v>
      </c>
    </row>
    <row r="137" spans="1:14" x14ac:dyDescent="0.55000000000000004">
      <c r="A137" s="14" t="s">
        <v>30</v>
      </c>
      <c r="B137" s="19">
        <v>2021</v>
      </c>
      <c r="C137" s="19" t="s">
        <v>45</v>
      </c>
      <c r="D137" s="19">
        <v>2014.5</v>
      </c>
      <c r="E137" s="19">
        <f t="shared" si="12"/>
        <v>1.4842392653263703</v>
      </c>
      <c r="F137" s="19">
        <v>173.4</v>
      </c>
      <c r="G137" s="19">
        <f t="shared" si="13"/>
        <v>-5.3056516724336866</v>
      </c>
      <c r="H137" s="19">
        <v>162.9</v>
      </c>
      <c r="I137" s="19">
        <f t="shared" si="14"/>
        <v>-4.7268262737876103</v>
      </c>
      <c r="J137" s="19">
        <v>158.9</v>
      </c>
      <c r="K137" s="19">
        <f t="shared" si="15"/>
        <v>-4.8458149779735837</v>
      </c>
      <c r="L137" s="79">
        <v>164.2</v>
      </c>
      <c r="M137" s="19">
        <f t="shared" si="16"/>
        <v>-149.13419913419926</v>
      </c>
      <c r="N137" s="86" t="str">
        <f t="shared" si="17"/>
        <v>After</v>
      </c>
    </row>
    <row r="138" spans="1:14" x14ac:dyDescent="0.55000000000000004">
      <c r="A138" s="14" t="s">
        <v>33</v>
      </c>
      <c r="B138" s="19">
        <v>2021</v>
      </c>
      <c r="C138" s="19" t="s">
        <v>45</v>
      </c>
      <c r="D138" s="19">
        <v>2044.3999999999996</v>
      </c>
      <c r="E138" s="19">
        <f t="shared" si="12"/>
        <v>-0.97828213656817598</v>
      </c>
      <c r="F138" s="19">
        <v>164.2</v>
      </c>
      <c r="G138" s="19">
        <f t="shared" si="13"/>
        <v>3.4713763702801659</v>
      </c>
      <c r="H138" s="19">
        <v>155.19999999999999</v>
      </c>
      <c r="I138" s="19">
        <f t="shared" si="14"/>
        <v>2.6417525773196004</v>
      </c>
      <c r="J138" s="19">
        <v>151.19999999999999</v>
      </c>
      <c r="K138" s="19">
        <f t="shared" si="15"/>
        <v>2.3809523809523947</v>
      </c>
      <c r="L138" s="78">
        <v>164.2</v>
      </c>
      <c r="M138" s="19">
        <f t="shared" si="16"/>
        <v>43.798449612402223</v>
      </c>
      <c r="N138" s="86" t="str">
        <f t="shared" si="17"/>
        <v>After</v>
      </c>
    </row>
    <row r="139" spans="1:14" x14ac:dyDescent="0.55000000000000004">
      <c r="A139" s="14" t="s">
        <v>34</v>
      </c>
      <c r="B139" s="19">
        <v>2021</v>
      </c>
      <c r="C139" s="19" t="s">
        <v>45</v>
      </c>
      <c r="D139" s="19">
        <v>2024.3999999999999</v>
      </c>
      <c r="E139" s="19">
        <f t="shared" si="12"/>
        <v>-1.0867417506421617</v>
      </c>
      <c r="F139" s="19">
        <v>169.9</v>
      </c>
      <c r="G139" s="19">
        <f t="shared" si="13"/>
        <v>2.413184226015308</v>
      </c>
      <c r="H139" s="19">
        <v>159.30000000000001</v>
      </c>
      <c r="I139" s="19">
        <f t="shared" si="14"/>
        <v>2.8876333961079581</v>
      </c>
      <c r="J139" s="19">
        <v>154.80000000000001</v>
      </c>
      <c r="K139" s="19">
        <f t="shared" si="15"/>
        <v>3.4237726098191201</v>
      </c>
      <c r="L139" s="79">
        <v>164.2</v>
      </c>
      <c r="M139" s="19">
        <f t="shared" si="16"/>
        <v>-251.41951374730397</v>
      </c>
      <c r="N139" s="86" t="str">
        <f t="shared" si="17"/>
        <v>After</v>
      </c>
    </row>
    <row r="140" spans="1:14" x14ac:dyDescent="0.55000000000000004">
      <c r="A140" s="14" t="s">
        <v>30</v>
      </c>
      <c r="B140" s="19">
        <v>2021</v>
      </c>
      <c r="C140" s="19" t="s">
        <v>46</v>
      </c>
      <c r="D140" s="19">
        <v>2002.3999999999999</v>
      </c>
      <c r="E140" s="19">
        <f t="shared" si="12"/>
        <v>1.5831002796644178</v>
      </c>
      <c r="F140" s="19">
        <v>174</v>
      </c>
      <c r="G140" s="19">
        <f t="shared" si="13"/>
        <v>-5.1149425287356332</v>
      </c>
      <c r="H140" s="19">
        <v>163.9</v>
      </c>
      <c r="I140" s="19">
        <f t="shared" si="14"/>
        <v>-4.8200122025625403</v>
      </c>
      <c r="J140" s="19">
        <v>160.1</v>
      </c>
      <c r="K140" s="19">
        <f t="shared" si="15"/>
        <v>-5.1842598376014903</v>
      </c>
      <c r="L140" s="78">
        <v>163.4</v>
      </c>
      <c r="M140" s="19">
        <f t="shared" si="16"/>
        <v>-149.55712176770302</v>
      </c>
      <c r="N140" s="86" t="str">
        <f t="shared" si="17"/>
        <v>After</v>
      </c>
    </row>
    <row r="141" spans="1:14" x14ac:dyDescent="0.55000000000000004">
      <c r="A141" s="14" t="s">
        <v>33</v>
      </c>
      <c r="B141" s="19">
        <v>2021</v>
      </c>
      <c r="C141" s="19" t="s">
        <v>46</v>
      </c>
      <c r="D141" s="19">
        <v>2034.1000000000001</v>
      </c>
      <c r="E141" s="19">
        <f t="shared" si="12"/>
        <v>-1.0520623371515714</v>
      </c>
      <c r="F141" s="19">
        <v>165.1</v>
      </c>
      <c r="G141" s="19">
        <f t="shared" si="13"/>
        <v>3.3313143549364099</v>
      </c>
      <c r="H141" s="19">
        <v>156</v>
      </c>
      <c r="I141" s="19">
        <f t="shared" si="14"/>
        <v>2.6923076923076827</v>
      </c>
      <c r="J141" s="19">
        <v>151.80000000000001</v>
      </c>
      <c r="K141" s="19">
        <f t="shared" si="15"/>
        <v>2.5691699604742935</v>
      </c>
      <c r="L141" s="79">
        <v>163.4</v>
      </c>
      <c r="M141" s="19">
        <f t="shared" si="16"/>
        <v>27.493700904106568</v>
      </c>
      <c r="N141" s="86" t="str">
        <f t="shared" si="17"/>
        <v>After</v>
      </c>
    </row>
    <row r="142" spans="1:14" x14ac:dyDescent="0.55000000000000004">
      <c r="A142" s="14" t="s">
        <v>34</v>
      </c>
      <c r="B142" s="19">
        <v>2021</v>
      </c>
      <c r="C142" s="19" t="s">
        <v>46</v>
      </c>
      <c r="D142" s="19">
        <v>2012.7</v>
      </c>
      <c r="E142" s="19">
        <f t="shared" si="12"/>
        <v>-1.1824911810006555</v>
      </c>
      <c r="F142" s="19">
        <v>170.6</v>
      </c>
      <c r="G142" s="19">
        <f t="shared" si="13"/>
        <v>2.4032825322391593</v>
      </c>
      <c r="H142" s="19">
        <v>160.19999999999999</v>
      </c>
      <c r="I142" s="19">
        <f t="shared" si="14"/>
        <v>2.9338327091136263</v>
      </c>
      <c r="J142" s="19">
        <v>155.69999999999999</v>
      </c>
      <c r="K142" s="19">
        <f t="shared" si="15"/>
        <v>3.2755298651252485</v>
      </c>
      <c r="L142" s="78">
        <v>163.4</v>
      </c>
      <c r="M142" s="19">
        <f t="shared" si="16"/>
        <v>-253.78621597892891</v>
      </c>
      <c r="N142" s="86" t="str">
        <f t="shared" si="17"/>
        <v>After</v>
      </c>
    </row>
    <row r="143" spans="1:14" x14ac:dyDescent="0.55000000000000004">
      <c r="A143" s="14" t="s">
        <v>30</v>
      </c>
      <c r="B143" s="19">
        <v>2022</v>
      </c>
      <c r="C143" s="19" t="s">
        <v>31</v>
      </c>
      <c r="D143" s="19">
        <v>1988.8999999999999</v>
      </c>
      <c r="E143" s="19">
        <f t="shared" ref="E143:E178" si="18">(D144/D143-1)*100</f>
        <v>1.3826738398109439</v>
      </c>
      <c r="F143" s="19">
        <v>174.7</v>
      </c>
      <c r="G143" s="19">
        <f t="shared" si="13"/>
        <v>-4.9227246708643317</v>
      </c>
      <c r="H143" s="19">
        <v>164.9</v>
      </c>
      <c r="I143" s="19">
        <f t="shared" si="14"/>
        <v>-4.912067919951479</v>
      </c>
      <c r="J143" s="19">
        <v>160.80000000000001</v>
      </c>
      <c r="K143" s="19">
        <f t="shared" si="15"/>
        <v>-5.0373134328358322</v>
      </c>
      <c r="L143" s="79">
        <v>164.5</v>
      </c>
      <c r="M143" s="19">
        <f t="shared" si="16"/>
        <v>-149.40211986708402</v>
      </c>
      <c r="N143" s="86" t="str">
        <f t="shared" si="17"/>
        <v>After</v>
      </c>
    </row>
    <row r="144" spans="1:14" x14ac:dyDescent="0.55000000000000004">
      <c r="A144" s="14" t="s">
        <v>33</v>
      </c>
      <c r="B144" s="19">
        <v>2022</v>
      </c>
      <c r="C144" s="19" t="s">
        <v>31</v>
      </c>
      <c r="D144" s="19">
        <v>2016.3999999999996</v>
      </c>
      <c r="E144" s="19">
        <f t="shared" si="18"/>
        <v>-0.92243602459828322</v>
      </c>
      <c r="F144" s="19">
        <v>166.1</v>
      </c>
      <c r="G144" s="19">
        <f t="shared" si="13"/>
        <v>3.1908488862131268</v>
      </c>
      <c r="H144" s="19">
        <v>156.80000000000001</v>
      </c>
      <c r="I144" s="19">
        <f t="shared" si="14"/>
        <v>2.7423469387755084</v>
      </c>
      <c r="J144" s="19">
        <v>152.69999999999999</v>
      </c>
      <c r="K144" s="19">
        <f t="shared" si="15"/>
        <v>2.4885396201702825</v>
      </c>
      <c r="L144" s="78">
        <v>164.5</v>
      </c>
      <c r="M144" s="19">
        <f t="shared" si="16"/>
        <v>20.681015638135889</v>
      </c>
      <c r="N144" s="86" t="str">
        <f t="shared" si="17"/>
        <v>After</v>
      </c>
    </row>
    <row r="145" spans="1:14" x14ac:dyDescent="0.55000000000000004">
      <c r="A145" s="14" t="s">
        <v>34</v>
      </c>
      <c r="B145" s="19">
        <v>2022</v>
      </c>
      <c r="C145" s="19" t="s">
        <v>31</v>
      </c>
      <c r="D145" s="19">
        <v>1997.8</v>
      </c>
      <c r="E145" s="19">
        <f t="shared" si="18"/>
        <v>-0.5656221844028364</v>
      </c>
      <c r="F145" s="19">
        <v>171.4</v>
      </c>
      <c r="G145" s="19">
        <f t="shared" si="13"/>
        <v>2.2753792298716435</v>
      </c>
      <c r="H145" s="19">
        <v>161.1</v>
      </c>
      <c r="I145" s="19">
        <f t="shared" si="14"/>
        <v>2.8553693358162491</v>
      </c>
      <c r="J145" s="19">
        <v>156.5</v>
      </c>
      <c r="K145" s="19">
        <f t="shared" si="15"/>
        <v>3.0031948881789061</v>
      </c>
      <c r="L145" s="79">
        <v>164.5</v>
      </c>
      <c r="M145" s="19">
        <f t="shared" si="16"/>
        <v>-267.3156116361335</v>
      </c>
      <c r="N145" s="86" t="str">
        <f t="shared" si="17"/>
        <v>After</v>
      </c>
    </row>
    <row r="146" spans="1:14" x14ac:dyDescent="0.55000000000000004">
      <c r="A146" s="14" t="s">
        <v>30</v>
      </c>
      <c r="B146" s="19">
        <v>2022</v>
      </c>
      <c r="C146" s="19" t="s">
        <v>35</v>
      </c>
      <c r="D146" s="19">
        <v>1986.5</v>
      </c>
      <c r="E146" s="19">
        <f t="shared" si="18"/>
        <v>1.3491064686634857</v>
      </c>
      <c r="F146" s="19">
        <v>175.3</v>
      </c>
      <c r="G146" s="19">
        <f t="shared" si="13"/>
        <v>-4.620650313747876</v>
      </c>
      <c r="H146" s="19">
        <v>165.7</v>
      </c>
      <c r="I146" s="19">
        <f t="shared" si="14"/>
        <v>-5.0090525045262453</v>
      </c>
      <c r="J146" s="19">
        <v>161.19999999999999</v>
      </c>
      <c r="K146" s="19">
        <f t="shared" si="15"/>
        <v>-5.024813895781632</v>
      </c>
      <c r="L146" s="78">
        <v>165.5</v>
      </c>
      <c r="M146" s="19">
        <f t="shared" si="16"/>
        <v>-149.39561813064998</v>
      </c>
      <c r="N146" s="86" t="str">
        <f t="shared" si="17"/>
        <v>After</v>
      </c>
    </row>
    <row r="147" spans="1:14" x14ac:dyDescent="0.55000000000000004">
      <c r="A147" s="14" t="s">
        <v>33</v>
      </c>
      <c r="B147" s="19">
        <v>2022</v>
      </c>
      <c r="C147" s="19" t="s">
        <v>35</v>
      </c>
      <c r="D147" s="19">
        <v>2013.3</v>
      </c>
      <c r="E147" s="19">
        <f t="shared" si="18"/>
        <v>-0.90895544628221137</v>
      </c>
      <c r="F147" s="19">
        <v>167.2</v>
      </c>
      <c r="G147" s="19">
        <f t="shared" si="13"/>
        <v>2.9904306220095656</v>
      </c>
      <c r="H147" s="19">
        <v>157.4</v>
      </c>
      <c r="I147" s="19">
        <f t="shared" si="14"/>
        <v>2.7954256670902122</v>
      </c>
      <c r="J147" s="19">
        <v>153.1</v>
      </c>
      <c r="K147" s="19">
        <f t="shared" si="15"/>
        <v>2.4820378837361323</v>
      </c>
      <c r="L147" s="79">
        <v>165.5</v>
      </c>
      <c r="M147" s="19">
        <f t="shared" si="16"/>
        <v>30.960048304316288</v>
      </c>
      <c r="N147" s="86" t="str">
        <f t="shared" si="17"/>
        <v>After</v>
      </c>
    </row>
    <row r="148" spans="1:14" x14ac:dyDescent="0.55000000000000004">
      <c r="A148" s="14" t="s">
        <v>34</v>
      </c>
      <c r="B148" s="19">
        <v>2022</v>
      </c>
      <c r="C148" s="19" t="s">
        <v>35</v>
      </c>
      <c r="D148" s="19">
        <v>1995.0000000000002</v>
      </c>
      <c r="E148" s="19">
        <f t="shared" si="18"/>
        <v>0.87719298245614308</v>
      </c>
      <c r="F148" s="19">
        <v>172.2</v>
      </c>
      <c r="G148" s="19">
        <f t="shared" si="13"/>
        <v>2.2067363530778206</v>
      </c>
      <c r="H148" s="19">
        <v>161.80000000000001</v>
      </c>
      <c r="I148" s="19">
        <f t="shared" si="14"/>
        <v>2.9048207663782355</v>
      </c>
      <c r="J148" s="19">
        <v>156.9</v>
      </c>
      <c r="K148" s="19">
        <f t="shared" si="15"/>
        <v>3.2504780114722687</v>
      </c>
      <c r="L148" s="78">
        <v>165.5</v>
      </c>
      <c r="M148" s="19">
        <f t="shared" si="16"/>
        <v>-248.1263616557741</v>
      </c>
      <c r="N148" s="86" t="str">
        <f t="shared" si="17"/>
        <v>After</v>
      </c>
    </row>
    <row r="149" spans="1:14" x14ac:dyDescent="0.55000000000000004">
      <c r="A149" s="14" t="s">
        <v>30</v>
      </c>
      <c r="B149" s="19">
        <v>2022</v>
      </c>
      <c r="C149" s="19" t="s">
        <v>36</v>
      </c>
      <c r="D149" s="19">
        <v>2012.5000000000002</v>
      </c>
      <c r="E149" s="19">
        <f t="shared" si="18"/>
        <v>0.61118012422360923</v>
      </c>
      <c r="F149" s="19">
        <v>176</v>
      </c>
      <c r="G149" s="19">
        <f t="shared" si="13"/>
        <v>-4.4318181818181923</v>
      </c>
      <c r="H149" s="19">
        <v>166.5</v>
      </c>
      <c r="I149" s="19">
        <f t="shared" si="14"/>
        <v>-4.7447447447447448</v>
      </c>
      <c r="J149" s="19">
        <v>162</v>
      </c>
      <c r="K149" s="19">
        <f t="shared" si="15"/>
        <v>-4.8148148148148273</v>
      </c>
      <c r="L149" s="79">
        <v>165.3</v>
      </c>
      <c r="M149" s="19">
        <f t="shared" si="16"/>
        <v>-149.8353786291531</v>
      </c>
      <c r="N149" s="86" t="str">
        <f t="shared" si="17"/>
        <v>After</v>
      </c>
    </row>
    <row r="150" spans="1:14" x14ac:dyDescent="0.55000000000000004">
      <c r="A150" s="14" t="s">
        <v>33</v>
      </c>
      <c r="B150" s="19">
        <v>2022</v>
      </c>
      <c r="C150" s="19" t="s">
        <v>36</v>
      </c>
      <c r="D150" s="19">
        <v>2024.8000000000002</v>
      </c>
      <c r="E150" s="19">
        <f t="shared" si="18"/>
        <v>-0.44448834452784913</v>
      </c>
      <c r="F150" s="19">
        <v>168.2</v>
      </c>
      <c r="G150" s="19">
        <f t="shared" si="13"/>
        <v>2.8537455410226009</v>
      </c>
      <c r="H150" s="19">
        <v>158.6</v>
      </c>
      <c r="I150" s="19">
        <f t="shared" si="14"/>
        <v>2.6481715006305251</v>
      </c>
      <c r="J150" s="19">
        <v>154.19999999999999</v>
      </c>
      <c r="K150" s="19">
        <f t="shared" si="15"/>
        <v>2.399481193255526</v>
      </c>
      <c r="L150" s="78">
        <v>165.3</v>
      </c>
      <c r="M150" s="19">
        <f t="shared" si="16"/>
        <v>119.06783287403732</v>
      </c>
      <c r="N150" s="86" t="str">
        <f t="shared" si="17"/>
        <v>After</v>
      </c>
    </row>
    <row r="151" spans="1:14" x14ac:dyDescent="0.55000000000000004">
      <c r="A151" s="14" t="s">
        <v>34</v>
      </c>
      <c r="B151" s="19">
        <v>2022</v>
      </c>
      <c r="C151" s="19" t="s">
        <v>36</v>
      </c>
      <c r="D151" s="19">
        <v>2015.8000000000002</v>
      </c>
      <c r="E151" s="19">
        <f t="shared" si="18"/>
        <v>1.1012997321162787</v>
      </c>
      <c r="F151" s="19">
        <v>173</v>
      </c>
      <c r="G151" s="19">
        <f t="shared" si="13"/>
        <v>2.3121387283236983</v>
      </c>
      <c r="H151" s="19">
        <v>162.80000000000001</v>
      </c>
      <c r="I151" s="19">
        <f t="shared" si="14"/>
        <v>3.0098280098279862</v>
      </c>
      <c r="J151" s="19">
        <v>157.9</v>
      </c>
      <c r="K151" s="19">
        <f t="shared" si="15"/>
        <v>5.2564914502849724</v>
      </c>
      <c r="L151" s="79">
        <v>165.3</v>
      </c>
      <c r="M151" s="19">
        <f t="shared" si="16"/>
        <v>-178.98090557174538</v>
      </c>
      <c r="N151" s="86" t="str">
        <f t="shared" si="17"/>
        <v>After</v>
      </c>
    </row>
    <row r="152" spans="1:14" x14ac:dyDescent="0.55000000000000004">
      <c r="A152" s="14" t="s">
        <v>30</v>
      </c>
      <c r="B152" s="19">
        <v>2022</v>
      </c>
      <c r="C152" s="19" t="s">
        <v>37</v>
      </c>
      <c r="D152" s="19">
        <v>2038</v>
      </c>
      <c r="E152" s="19">
        <f t="shared" si="18"/>
        <v>0.87831207065751649</v>
      </c>
      <c r="F152" s="19">
        <v>177</v>
      </c>
      <c r="G152" s="19">
        <f t="shared" si="13"/>
        <v>-4.5197740112994378</v>
      </c>
      <c r="H152" s="19">
        <v>167.7</v>
      </c>
      <c r="I152" s="19">
        <f t="shared" si="14"/>
        <v>-4.7107930828860889</v>
      </c>
      <c r="J152" s="19">
        <v>166.2</v>
      </c>
      <c r="K152" s="19">
        <f t="shared" si="15"/>
        <v>-4.1516245487364429</v>
      </c>
      <c r="L152" s="78">
        <v>167</v>
      </c>
      <c r="M152" s="19">
        <f t="shared" si="16"/>
        <v>-149.8976500450342</v>
      </c>
      <c r="N152" s="86" t="str">
        <f t="shared" si="17"/>
        <v>After</v>
      </c>
    </row>
    <row r="153" spans="1:14" x14ac:dyDescent="0.55000000000000004">
      <c r="A153" s="14" t="s">
        <v>33</v>
      </c>
      <c r="B153" s="19">
        <v>2022</v>
      </c>
      <c r="C153" s="19" t="s">
        <v>37</v>
      </c>
      <c r="D153" s="19">
        <v>2055.9</v>
      </c>
      <c r="E153" s="19">
        <f t="shared" si="18"/>
        <v>-0.60314217617587484</v>
      </c>
      <c r="F153" s="19">
        <v>169</v>
      </c>
      <c r="G153" s="19">
        <f t="shared" si="13"/>
        <v>2.9585798816567976</v>
      </c>
      <c r="H153" s="19">
        <v>159.80000000000001</v>
      </c>
      <c r="I153" s="19">
        <f t="shared" si="14"/>
        <v>2.6282853566958586</v>
      </c>
      <c r="J153" s="19">
        <v>159.30000000000001</v>
      </c>
      <c r="K153" s="19">
        <f t="shared" si="15"/>
        <v>2.0715630885122405</v>
      </c>
      <c r="L153" s="79">
        <v>167</v>
      </c>
      <c r="M153" s="19">
        <f t="shared" si="16"/>
        <v>33.59610868835945</v>
      </c>
      <c r="N153" s="86" t="str">
        <f t="shared" si="17"/>
        <v>After</v>
      </c>
    </row>
    <row r="154" spans="1:14" x14ac:dyDescent="0.55000000000000004">
      <c r="A154" s="14" t="s">
        <v>34</v>
      </c>
      <c r="B154" s="19">
        <v>2022</v>
      </c>
      <c r="C154" s="19" t="s">
        <v>37</v>
      </c>
      <c r="D154" s="19">
        <v>2043.5000000000002</v>
      </c>
      <c r="E154" s="19">
        <f t="shared" si="18"/>
        <v>0.61169562025935598</v>
      </c>
      <c r="F154" s="19">
        <v>174</v>
      </c>
      <c r="G154" s="19">
        <f t="shared" si="13"/>
        <v>2.1264367816091978</v>
      </c>
      <c r="H154" s="19">
        <v>164</v>
      </c>
      <c r="I154" s="19">
        <f t="shared" si="14"/>
        <v>2.9878048780487942</v>
      </c>
      <c r="J154" s="19">
        <v>162.6</v>
      </c>
      <c r="K154" s="19">
        <f t="shared" si="15"/>
        <v>2.7675276752767486</v>
      </c>
      <c r="L154" s="78">
        <v>167</v>
      </c>
      <c r="M154" s="19">
        <f t="shared" si="16"/>
        <v>-266.50309196090183</v>
      </c>
      <c r="N154" s="86" t="str">
        <f t="shared" si="17"/>
        <v>After</v>
      </c>
    </row>
    <row r="155" spans="1:14" x14ac:dyDescent="0.55000000000000004">
      <c r="A155" s="14" t="s">
        <v>30</v>
      </c>
      <c r="B155" s="19">
        <v>2022</v>
      </c>
      <c r="C155" s="19" t="s">
        <v>38</v>
      </c>
      <c r="D155" s="19">
        <v>2056</v>
      </c>
      <c r="E155" s="19">
        <f t="shared" si="18"/>
        <v>1.3959143968871768</v>
      </c>
      <c r="F155" s="19">
        <v>177.7</v>
      </c>
      <c r="G155" s="19">
        <f t="shared" si="13"/>
        <v>-4.2768711311198633</v>
      </c>
      <c r="H155" s="19">
        <v>168.9</v>
      </c>
      <c r="I155" s="19">
        <f t="shared" si="14"/>
        <v>-4.6181172291296697</v>
      </c>
      <c r="J155" s="19">
        <v>167.1</v>
      </c>
      <c r="K155" s="19">
        <f t="shared" si="15"/>
        <v>-4.6080191502094525</v>
      </c>
      <c r="L155" s="79">
        <v>167.5</v>
      </c>
      <c r="M155" s="19">
        <f t="shared" si="16"/>
        <v>-149.01171601297091</v>
      </c>
      <c r="N155" s="86" t="str">
        <f t="shared" si="17"/>
        <v>After</v>
      </c>
    </row>
    <row r="156" spans="1:14" x14ac:dyDescent="0.55000000000000004">
      <c r="A156" s="14" t="s">
        <v>33</v>
      </c>
      <c r="B156" s="19">
        <v>2022</v>
      </c>
      <c r="C156" s="19" t="s">
        <v>38</v>
      </c>
      <c r="D156" s="19">
        <v>2084.7000000000003</v>
      </c>
      <c r="E156" s="19">
        <f t="shared" si="18"/>
        <v>-0.91619897347339219</v>
      </c>
      <c r="F156" s="19">
        <v>170.1</v>
      </c>
      <c r="G156" s="19">
        <f t="shared" si="13"/>
        <v>2.7630805408583203</v>
      </c>
      <c r="H156" s="19">
        <v>161.1</v>
      </c>
      <c r="I156" s="19">
        <f t="shared" si="14"/>
        <v>2.5450031036623244</v>
      </c>
      <c r="J156" s="19">
        <v>159.4</v>
      </c>
      <c r="K156" s="19">
        <f t="shared" si="15"/>
        <v>2.2584692597239719</v>
      </c>
      <c r="L156" s="78">
        <v>167.5</v>
      </c>
      <c r="M156" s="19">
        <f t="shared" si="16"/>
        <v>-32.089297886844506</v>
      </c>
      <c r="N156" s="86" t="str">
        <f t="shared" si="17"/>
        <v>After</v>
      </c>
    </row>
    <row r="157" spans="1:14" x14ac:dyDescent="0.55000000000000004">
      <c r="A157" s="14" t="s">
        <v>34</v>
      </c>
      <c r="B157" s="19">
        <v>2022</v>
      </c>
      <c r="C157" s="19" t="s">
        <v>38</v>
      </c>
      <c r="D157" s="19">
        <v>2065.6000000000004</v>
      </c>
      <c r="E157" s="19">
        <f t="shared" si="18"/>
        <v>0.49864446165761578</v>
      </c>
      <c r="F157" s="19">
        <v>174.8</v>
      </c>
      <c r="G157" s="19">
        <f t="shared" si="13"/>
        <v>1.9450800915331579</v>
      </c>
      <c r="H157" s="19">
        <v>165.2</v>
      </c>
      <c r="I157" s="19">
        <f t="shared" si="14"/>
        <v>3.0871670702179221</v>
      </c>
      <c r="J157" s="19">
        <v>163</v>
      </c>
      <c r="K157" s="19">
        <f t="shared" si="15"/>
        <v>1.5337423312883347</v>
      </c>
      <c r="L157" s="79">
        <v>167.5</v>
      </c>
      <c r="M157" s="19">
        <f t="shared" si="16"/>
        <v>-426.98489425982132</v>
      </c>
      <c r="N157" s="86" t="str">
        <f t="shared" si="17"/>
        <v>After</v>
      </c>
    </row>
    <row r="158" spans="1:14" x14ac:dyDescent="0.55000000000000004">
      <c r="A158" s="14" t="s">
        <v>30</v>
      </c>
      <c r="B158" s="19">
        <v>2022</v>
      </c>
      <c r="C158" s="19" t="s">
        <v>39</v>
      </c>
      <c r="D158" s="19">
        <v>2075.9</v>
      </c>
      <c r="E158" s="19">
        <f t="shared" si="18"/>
        <v>1.5559516354352265</v>
      </c>
      <c r="F158" s="19">
        <v>178.2</v>
      </c>
      <c r="G158" s="19">
        <f t="shared" si="13"/>
        <v>-4.0965207631874172</v>
      </c>
      <c r="H158" s="19">
        <v>170.3</v>
      </c>
      <c r="I158" s="19">
        <f t="shared" si="14"/>
        <v>-4.81503229594834</v>
      </c>
      <c r="J158" s="19">
        <v>165.5</v>
      </c>
      <c r="K158" s="19">
        <f t="shared" si="15"/>
        <v>-5.01510574018128</v>
      </c>
      <c r="L158" s="78">
        <v>166.8</v>
      </c>
      <c r="M158" s="19">
        <f t="shared" si="16"/>
        <v>-149.46886783776318</v>
      </c>
      <c r="N158" s="86" t="str">
        <f t="shared" si="17"/>
        <v>After</v>
      </c>
    </row>
    <row r="159" spans="1:14" x14ac:dyDescent="0.55000000000000004">
      <c r="A159" s="14" t="s">
        <v>33</v>
      </c>
      <c r="B159" s="19">
        <v>2022</v>
      </c>
      <c r="C159" s="19" t="s">
        <v>39</v>
      </c>
      <c r="D159" s="19">
        <v>2108.1999999999998</v>
      </c>
      <c r="E159" s="19">
        <f t="shared" si="18"/>
        <v>-1.0055971919172624</v>
      </c>
      <c r="F159" s="19">
        <v>170.9</v>
      </c>
      <c r="G159" s="19">
        <f t="shared" si="13"/>
        <v>2.6331187829139902</v>
      </c>
      <c r="H159" s="19">
        <v>162.1</v>
      </c>
      <c r="I159" s="19">
        <f t="shared" si="14"/>
        <v>2.6526835286859951</v>
      </c>
      <c r="J159" s="19">
        <v>157.19999999999999</v>
      </c>
      <c r="K159" s="19">
        <f t="shared" si="15"/>
        <v>2.4809160305343525</v>
      </c>
      <c r="L159" s="79">
        <v>166.8</v>
      </c>
      <c r="M159" s="19">
        <f t="shared" si="16"/>
        <v>30.105524518933024</v>
      </c>
      <c r="N159" s="86" t="str">
        <f t="shared" si="17"/>
        <v>After</v>
      </c>
    </row>
    <row r="160" spans="1:14" x14ac:dyDescent="0.55000000000000004">
      <c r="A160" s="14" t="s">
        <v>34</v>
      </c>
      <c r="B160" s="19">
        <v>2022</v>
      </c>
      <c r="C160" s="19" t="s">
        <v>39</v>
      </c>
      <c r="D160" s="19">
        <v>2087</v>
      </c>
      <c r="E160" s="19">
        <f t="shared" si="18"/>
        <v>-0.33540967896502627</v>
      </c>
      <c r="F160" s="19">
        <v>175.4</v>
      </c>
      <c r="G160" s="19">
        <f t="shared" si="13"/>
        <v>1.9384264538198526</v>
      </c>
      <c r="H160" s="19">
        <v>166.4</v>
      </c>
      <c r="I160" s="19">
        <f t="shared" si="14"/>
        <v>2.9447115384615419</v>
      </c>
      <c r="J160" s="19">
        <v>161.1</v>
      </c>
      <c r="K160" s="19">
        <f t="shared" si="15"/>
        <v>3.227808814401012</v>
      </c>
      <c r="L160" s="78">
        <v>166.8</v>
      </c>
      <c r="M160" s="19">
        <f t="shared" si="16"/>
        <v>-265.80207225125946</v>
      </c>
      <c r="N160" s="86" t="str">
        <f t="shared" si="17"/>
        <v>After</v>
      </c>
    </row>
    <row r="161" spans="1:14" x14ac:dyDescent="0.55000000000000004">
      <c r="A161" s="14" t="s">
        <v>30</v>
      </c>
      <c r="B161" s="19">
        <v>2022</v>
      </c>
      <c r="C161" s="19" t="s">
        <v>40</v>
      </c>
      <c r="D161" s="19">
        <v>2080</v>
      </c>
      <c r="E161" s="19">
        <f t="shared" si="18"/>
        <v>1.5480769230769242</v>
      </c>
      <c r="F161" s="19">
        <v>178.8</v>
      </c>
      <c r="G161" s="19">
        <f t="shared" si="13"/>
        <v>-3.9709172259507985</v>
      </c>
      <c r="H161" s="19">
        <v>171.3</v>
      </c>
      <c r="I161" s="19">
        <f t="shared" si="14"/>
        <v>-4.7869235259778264</v>
      </c>
      <c r="J161" s="19">
        <v>166.3</v>
      </c>
      <c r="K161" s="19">
        <f t="shared" si="15"/>
        <v>-5.3517739025856876</v>
      </c>
      <c r="L161" s="79">
        <v>167.8</v>
      </c>
      <c r="M161" s="19">
        <f t="shared" si="16"/>
        <v>-149.85937209999557</v>
      </c>
      <c r="N161" s="86" t="str">
        <f t="shared" si="17"/>
        <v>After</v>
      </c>
    </row>
    <row r="162" spans="1:14" x14ac:dyDescent="0.55000000000000004">
      <c r="A162" s="14" t="s">
        <v>33</v>
      </c>
      <c r="B162" s="19">
        <v>2022</v>
      </c>
      <c r="C162" s="19" t="s">
        <v>40</v>
      </c>
      <c r="D162" s="19">
        <v>2112.1999999999998</v>
      </c>
      <c r="E162" s="19">
        <f t="shared" si="18"/>
        <v>-0.98948963166365367</v>
      </c>
      <c r="F162" s="19">
        <v>171.7</v>
      </c>
      <c r="G162" s="19">
        <f t="shared" si="13"/>
        <v>2.5626092020966773</v>
      </c>
      <c r="H162" s="19">
        <v>163.1</v>
      </c>
      <c r="I162" s="19">
        <f t="shared" si="14"/>
        <v>2.6364193746168052</v>
      </c>
      <c r="J162" s="19">
        <v>157.4</v>
      </c>
      <c r="K162" s="19">
        <f t="shared" si="15"/>
        <v>2.6683608640406531</v>
      </c>
      <c r="L162" s="78">
        <v>167.8</v>
      </c>
      <c r="M162" s="19">
        <f t="shared" si="16"/>
        <v>15.953559641678483</v>
      </c>
      <c r="N162" s="86" t="str">
        <f t="shared" si="17"/>
        <v>After</v>
      </c>
    </row>
    <row r="163" spans="1:14" x14ac:dyDescent="0.55000000000000004">
      <c r="A163" s="14" t="s">
        <v>34</v>
      </c>
      <c r="B163" s="19">
        <v>2022</v>
      </c>
      <c r="C163" s="19" t="s">
        <v>40</v>
      </c>
      <c r="D163" s="19">
        <v>2091.3000000000002</v>
      </c>
      <c r="E163" s="19">
        <f t="shared" si="18"/>
        <v>-0.44948118395259362</v>
      </c>
      <c r="F163" s="19">
        <v>176.1</v>
      </c>
      <c r="G163" s="19">
        <f t="shared" si="13"/>
        <v>1.873935264054527</v>
      </c>
      <c r="H163" s="19">
        <v>167.4</v>
      </c>
      <c r="I163" s="19">
        <f t="shared" si="14"/>
        <v>2.9271206690561602</v>
      </c>
      <c r="J163" s="19">
        <v>161.6</v>
      </c>
      <c r="K163" s="19">
        <f t="shared" si="15"/>
        <v>3.0940594059405857</v>
      </c>
      <c r="L163" s="79">
        <v>167.8</v>
      </c>
      <c r="M163" s="19">
        <f t="shared" si="16"/>
        <v>-272.65786314525855</v>
      </c>
      <c r="N163" s="86" t="str">
        <f t="shared" si="17"/>
        <v>After</v>
      </c>
    </row>
    <row r="164" spans="1:14" x14ac:dyDescent="0.55000000000000004">
      <c r="A164" s="14" t="s">
        <v>30</v>
      </c>
      <c r="B164" s="19">
        <v>2022</v>
      </c>
      <c r="C164" s="19" t="s">
        <v>41</v>
      </c>
      <c r="D164" s="19">
        <v>2081.8999999999996</v>
      </c>
      <c r="E164" s="19">
        <f t="shared" si="18"/>
        <v>1.5082376675152442</v>
      </c>
      <c r="F164" s="19">
        <v>179.4</v>
      </c>
      <c r="G164" s="19">
        <f t="shared" si="13"/>
        <v>-3.7904124860646649</v>
      </c>
      <c r="H164" s="19">
        <v>172.3</v>
      </c>
      <c r="I164" s="19">
        <f t="shared" si="14"/>
        <v>-4.7011027278003663</v>
      </c>
      <c r="J164" s="19">
        <v>166.6</v>
      </c>
      <c r="K164" s="19">
        <f t="shared" si="15"/>
        <v>-5.3421368547418968</v>
      </c>
      <c r="L164" s="78">
        <v>169</v>
      </c>
      <c r="M164" s="19">
        <f t="shared" si="16"/>
        <v>-149.8542959537738</v>
      </c>
      <c r="N164" s="86" t="str">
        <f t="shared" si="17"/>
        <v>After</v>
      </c>
    </row>
    <row r="165" spans="1:14" x14ac:dyDescent="0.55000000000000004">
      <c r="A165" s="14" t="s">
        <v>33</v>
      </c>
      <c r="B165" s="19">
        <v>2022</v>
      </c>
      <c r="C165" s="19" t="s">
        <v>41</v>
      </c>
      <c r="D165" s="19">
        <v>2113.2999999999997</v>
      </c>
      <c r="E165" s="19">
        <f t="shared" si="18"/>
        <v>-0.96531491032979533</v>
      </c>
      <c r="F165" s="19">
        <v>172.6</v>
      </c>
      <c r="G165" s="19">
        <f t="shared" si="13"/>
        <v>2.4333719582850577</v>
      </c>
      <c r="H165" s="19">
        <v>164.2</v>
      </c>
      <c r="I165" s="19">
        <f t="shared" si="14"/>
        <v>2.6187576126674772</v>
      </c>
      <c r="J165" s="19">
        <v>157.69999999999999</v>
      </c>
      <c r="K165" s="19">
        <f t="shared" si="15"/>
        <v>2.6632847178186481</v>
      </c>
      <c r="L165" s="79">
        <v>169</v>
      </c>
      <c r="M165" s="19">
        <f t="shared" si="16"/>
        <v>15.959292920379852</v>
      </c>
      <c r="N165" s="86" t="str">
        <f t="shared" si="17"/>
        <v>After</v>
      </c>
    </row>
    <row r="166" spans="1:14" x14ac:dyDescent="0.55000000000000004">
      <c r="A166" s="14" t="s">
        <v>34</v>
      </c>
      <c r="B166" s="19">
        <v>2022</v>
      </c>
      <c r="C166" s="19" t="s">
        <v>41</v>
      </c>
      <c r="D166" s="19">
        <v>2092.9</v>
      </c>
      <c r="E166" s="19">
        <f t="shared" si="18"/>
        <v>-2.8668354914229699E-2</v>
      </c>
      <c r="F166" s="19">
        <v>176.8</v>
      </c>
      <c r="G166" s="19">
        <f t="shared" si="13"/>
        <v>1.9230769230769162</v>
      </c>
      <c r="H166" s="19">
        <v>168.5</v>
      </c>
      <c r="I166" s="19">
        <f t="shared" si="14"/>
        <v>3.0267062314540016</v>
      </c>
      <c r="J166" s="19">
        <v>161.9</v>
      </c>
      <c r="K166" s="19">
        <f t="shared" si="15"/>
        <v>3.0883261272390383</v>
      </c>
      <c r="L166" s="78">
        <v>169</v>
      </c>
      <c r="M166" s="19">
        <f t="shared" si="16"/>
        <v>-268.78729778310395</v>
      </c>
      <c r="N166" s="86" t="str">
        <f t="shared" si="17"/>
        <v>After</v>
      </c>
    </row>
    <row r="167" spans="1:14" x14ac:dyDescent="0.55000000000000004">
      <c r="A167" s="14" t="s">
        <v>30</v>
      </c>
      <c r="B167" s="19">
        <v>2022</v>
      </c>
      <c r="C167" s="19" t="s">
        <v>42</v>
      </c>
      <c r="D167" s="19">
        <v>2092.3000000000002</v>
      </c>
      <c r="E167" s="19">
        <f t="shared" si="18"/>
        <v>1.5437556755723225</v>
      </c>
      <c r="F167" s="19">
        <v>180.2</v>
      </c>
      <c r="G167" s="19">
        <f t="shared" si="13"/>
        <v>-3.5516093229744583</v>
      </c>
      <c r="H167" s="19">
        <v>173.6</v>
      </c>
      <c r="I167" s="19">
        <f t="shared" si="14"/>
        <v>-4.9539170506912367</v>
      </c>
      <c r="J167" s="19">
        <v>166.9</v>
      </c>
      <c r="K167" s="19">
        <f t="shared" si="15"/>
        <v>-5.2127022168963588</v>
      </c>
      <c r="L167" s="79">
        <v>169.5</v>
      </c>
      <c r="M167" s="19">
        <f t="shared" si="16"/>
        <v>-149.71809291308855</v>
      </c>
      <c r="N167" s="86" t="str">
        <f t="shared" si="17"/>
        <v>After</v>
      </c>
    </row>
    <row r="168" spans="1:14" x14ac:dyDescent="0.55000000000000004">
      <c r="A168" s="14" t="s">
        <v>33</v>
      </c>
      <c r="B168" s="19">
        <v>2022</v>
      </c>
      <c r="C168" s="19" t="s">
        <v>42</v>
      </c>
      <c r="D168" s="19">
        <v>2124.6</v>
      </c>
      <c r="E168" s="19">
        <f t="shared" si="18"/>
        <v>-1.0119551915654723</v>
      </c>
      <c r="F168" s="19">
        <v>173.8</v>
      </c>
      <c r="G168" s="19">
        <f t="shared" si="13"/>
        <v>2.3014959723820505</v>
      </c>
      <c r="H168" s="19">
        <v>165</v>
      </c>
      <c r="I168" s="19">
        <f t="shared" si="14"/>
        <v>2.7272727272727337</v>
      </c>
      <c r="J168" s="19">
        <v>158.19999999999999</v>
      </c>
      <c r="K168" s="19">
        <f t="shared" si="15"/>
        <v>2.5916561314791586</v>
      </c>
      <c r="L168" s="78">
        <v>169.5</v>
      </c>
      <c r="M168" s="19">
        <f t="shared" si="16"/>
        <v>21.247914882105267</v>
      </c>
      <c r="N168" s="86" t="str">
        <f t="shared" si="17"/>
        <v>After</v>
      </c>
    </row>
    <row r="169" spans="1:14" x14ac:dyDescent="0.55000000000000004">
      <c r="A169" s="14" t="s">
        <v>34</v>
      </c>
      <c r="B169" s="19">
        <v>2022</v>
      </c>
      <c r="C169" s="19" t="s">
        <v>42</v>
      </c>
      <c r="D169" s="19">
        <v>2103.1</v>
      </c>
      <c r="E169" s="19">
        <f t="shared" si="18"/>
        <v>0.19019542580001048</v>
      </c>
      <c r="F169" s="19">
        <v>177.8</v>
      </c>
      <c r="G169" s="19">
        <f t="shared" si="13"/>
        <v>1.9122609673790647</v>
      </c>
      <c r="H169" s="19">
        <v>169.5</v>
      </c>
      <c r="I169" s="19">
        <f t="shared" si="14"/>
        <v>2.8908554572271372</v>
      </c>
      <c r="J169" s="19">
        <v>162.30000000000001</v>
      </c>
      <c r="K169" s="19">
        <f t="shared" si="15"/>
        <v>3.1423290203327126</v>
      </c>
      <c r="L169" s="79">
        <v>169.5</v>
      </c>
      <c r="M169" s="19">
        <f t="shared" si="16"/>
        <v>-263.49005552041615</v>
      </c>
      <c r="N169" s="86" t="str">
        <f t="shared" si="17"/>
        <v>After</v>
      </c>
    </row>
    <row r="170" spans="1:14" x14ac:dyDescent="0.55000000000000004">
      <c r="A170" s="14" t="s">
        <v>30</v>
      </c>
      <c r="B170" s="19">
        <v>2022</v>
      </c>
      <c r="C170" s="19" t="s">
        <v>43</v>
      </c>
      <c r="D170" s="19">
        <v>2107.1</v>
      </c>
      <c r="E170" s="19">
        <f t="shared" si="18"/>
        <v>1.513929096862987</v>
      </c>
      <c r="F170" s="19">
        <v>181.2</v>
      </c>
      <c r="G170" s="19">
        <f t="shared" si="13"/>
        <v>-3.5871964679911716</v>
      </c>
      <c r="H170" s="19">
        <v>174.4</v>
      </c>
      <c r="I170" s="19">
        <f t="shared" si="14"/>
        <v>-4.8165137614678883</v>
      </c>
      <c r="J170" s="19">
        <v>167.4</v>
      </c>
      <c r="K170" s="19">
        <f t="shared" si="15"/>
        <v>-5.1373954599761014</v>
      </c>
      <c r="L170" s="78">
        <v>171.2</v>
      </c>
      <c r="M170" s="19">
        <f t="shared" si="16"/>
        <v>-150.25628258449979</v>
      </c>
      <c r="N170" s="86" t="str">
        <f t="shared" si="17"/>
        <v>After</v>
      </c>
    </row>
    <row r="171" spans="1:14" x14ac:dyDescent="0.55000000000000004">
      <c r="A171" s="14" t="s">
        <v>33</v>
      </c>
      <c r="B171" s="19">
        <v>2022</v>
      </c>
      <c r="C171" s="19" t="s">
        <v>43</v>
      </c>
      <c r="D171" s="19">
        <v>2139</v>
      </c>
      <c r="E171" s="19">
        <f t="shared" si="18"/>
        <v>-0.9957924263674478</v>
      </c>
      <c r="F171" s="19">
        <v>174.7</v>
      </c>
      <c r="G171" s="19">
        <f t="shared" si="13"/>
        <v>2.2896393817973593</v>
      </c>
      <c r="H171" s="19">
        <v>166</v>
      </c>
      <c r="I171" s="19">
        <f t="shared" si="14"/>
        <v>2.6506024096385472</v>
      </c>
      <c r="J171" s="19">
        <v>158.80000000000001</v>
      </c>
      <c r="K171" s="19">
        <f t="shared" si="15"/>
        <v>2.581863979848853</v>
      </c>
      <c r="L171" s="79">
        <v>171.2</v>
      </c>
      <c r="M171" s="19">
        <f t="shared" si="16"/>
        <v>9.3713036577882427</v>
      </c>
      <c r="N171" s="86" t="str">
        <f t="shared" si="17"/>
        <v>After</v>
      </c>
    </row>
    <row r="172" spans="1:14" x14ac:dyDescent="0.55000000000000004">
      <c r="A172" s="14" t="s">
        <v>34</v>
      </c>
      <c r="B172" s="19">
        <v>2022</v>
      </c>
      <c r="C172" s="19" t="s">
        <v>43</v>
      </c>
      <c r="D172" s="19">
        <v>2117.7000000000003</v>
      </c>
      <c r="E172" s="19">
        <f t="shared" si="18"/>
        <v>-0.31165887519480906</v>
      </c>
      <c r="F172" s="19">
        <v>178.7</v>
      </c>
      <c r="G172" s="19">
        <f t="shared" si="13"/>
        <v>2.0145495243424794</v>
      </c>
      <c r="H172" s="19">
        <v>170.4</v>
      </c>
      <c r="I172" s="19">
        <f t="shared" si="14"/>
        <v>2.9929577464788748</v>
      </c>
      <c r="J172" s="19">
        <v>162.9</v>
      </c>
      <c r="K172" s="19">
        <f t="shared" si="15"/>
        <v>2.8238182934315459</v>
      </c>
      <c r="L172" s="78">
        <v>171.2</v>
      </c>
      <c r="M172" s="19">
        <f t="shared" si="16"/>
        <v>-281.82219338092176</v>
      </c>
      <c r="N172" s="86" t="str">
        <f t="shared" si="17"/>
        <v>After</v>
      </c>
    </row>
    <row r="173" spans="1:14" x14ac:dyDescent="0.55000000000000004">
      <c r="A173" s="14" t="s">
        <v>30</v>
      </c>
      <c r="B173" s="19">
        <v>2022</v>
      </c>
      <c r="C173" s="19" t="s">
        <v>45</v>
      </c>
      <c r="D173" s="19">
        <v>2111.1</v>
      </c>
      <c r="E173" s="19">
        <f t="shared" si="18"/>
        <v>1.0421107479513081</v>
      </c>
      <c r="F173" s="19">
        <v>182.3</v>
      </c>
      <c r="G173" s="19">
        <f t="shared" si="13"/>
        <v>-3.5655512890839236</v>
      </c>
      <c r="H173" s="19">
        <v>175.5</v>
      </c>
      <c r="I173" s="19">
        <f t="shared" si="14"/>
        <v>-4.9002849002849018</v>
      </c>
      <c r="J173" s="19">
        <v>167.5</v>
      </c>
      <c r="K173" s="19">
        <f t="shared" si="15"/>
        <v>-5.1343283582089505</v>
      </c>
      <c r="L173" s="79">
        <v>171.8</v>
      </c>
      <c r="M173" s="19">
        <f t="shared" si="16"/>
        <v>-150.25465774876716</v>
      </c>
      <c r="N173" s="86" t="str">
        <f t="shared" si="17"/>
        <v>After</v>
      </c>
    </row>
    <row r="174" spans="1:14" x14ac:dyDescent="0.55000000000000004">
      <c r="A174" s="14" t="s">
        <v>33</v>
      </c>
      <c r="B174" s="19">
        <v>2022</v>
      </c>
      <c r="C174" s="19" t="s">
        <v>80</v>
      </c>
      <c r="D174" s="19">
        <v>2133.1</v>
      </c>
      <c r="E174" s="19">
        <f t="shared" si="18"/>
        <v>-0.68444986170361766</v>
      </c>
      <c r="F174" s="19">
        <v>175.8</v>
      </c>
      <c r="G174" s="19">
        <f t="shared" si="13"/>
        <v>2.2753128555176305</v>
      </c>
      <c r="H174" s="19">
        <v>166.9</v>
      </c>
      <c r="I174" s="19">
        <f t="shared" si="14"/>
        <v>2.6962252846015611</v>
      </c>
      <c r="J174" s="19">
        <v>158.9</v>
      </c>
      <c r="K174" s="19">
        <f t="shared" si="15"/>
        <v>2.5802391441158035</v>
      </c>
      <c r="L174" s="78">
        <v>171.8</v>
      </c>
      <c r="M174" s="19">
        <f t="shared" si="16"/>
        <v>14.128385455633573</v>
      </c>
      <c r="N174" s="86" t="str">
        <f t="shared" si="17"/>
        <v>After</v>
      </c>
    </row>
    <row r="175" spans="1:14" x14ac:dyDescent="0.55000000000000004">
      <c r="A175" s="14" t="s">
        <v>34</v>
      </c>
      <c r="B175" s="19">
        <v>2022</v>
      </c>
      <c r="C175" s="19" t="s">
        <v>45</v>
      </c>
      <c r="D175" s="19">
        <v>2118.5</v>
      </c>
      <c r="E175" s="19">
        <f t="shared" si="18"/>
        <v>-0.74581071512863639</v>
      </c>
      <c r="F175" s="19">
        <v>179.8</v>
      </c>
      <c r="G175" s="19">
        <f t="shared" si="13"/>
        <v>2.0578420467185721</v>
      </c>
      <c r="H175" s="19">
        <v>171.4</v>
      </c>
      <c r="I175" s="19">
        <f t="shared" si="14"/>
        <v>2.9171528588098017</v>
      </c>
      <c r="J175" s="19">
        <v>163</v>
      </c>
      <c r="K175" s="19">
        <f t="shared" si="15"/>
        <v>2.9447852760736248</v>
      </c>
      <c r="L175" s="79">
        <v>171.8</v>
      </c>
      <c r="M175" s="19">
        <f t="shared" si="16"/>
        <v>-269.99404052443384</v>
      </c>
      <c r="N175" s="86" t="str">
        <f t="shared" si="17"/>
        <v>After</v>
      </c>
    </row>
    <row r="176" spans="1:14" x14ac:dyDescent="0.55000000000000004">
      <c r="A176" s="14" t="s">
        <v>30</v>
      </c>
      <c r="B176" s="19">
        <v>2022</v>
      </c>
      <c r="C176" s="19" t="s">
        <v>46</v>
      </c>
      <c r="D176" s="19">
        <v>2102.6999999999998</v>
      </c>
      <c r="E176" s="19">
        <f t="shared" si="18"/>
        <v>0.68958957530793619</v>
      </c>
      <c r="F176" s="19">
        <v>183.5</v>
      </c>
      <c r="G176" s="19">
        <f t="shared" si="13"/>
        <v>-3.4332425068119954</v>
      </c>
      <c r="H176" s="19">
        <v>176.4</v>
      </c>
      <c r="I176" s="19">
        <f t="shared" si="14"/>
        <v>-5.1587301587301511</v>
      </c>
      <c r="J176" s="19">
        <v>167.8</v>
      </c>
      <c r="K176" s="19">
        <f t="shared" si="15"/>
        <v>-5.0059594755661578</v>
      </c>
      <c r="L176" s="78">
        <v>170.7</v>
      </c>
      <c r="M176" s="19">
        <f t="shared" si="16"/>
        <v>-150.12845790762967</v>
      </c>
      <c r="N176" s="86" t="str">
        <f t="shared" si="17"/>
        <v>After</v>
      </c>
    </row>
    <row r="177" spans="1:14" x14ac:dyDescent="0.55000000000000004">
      <c r="A177" s="14" t="s">
        <v>33</v>
      </c>
      <c r="B177" s="19">
        <v>2022</v>
      </c>
      <c r="C177" s="19" t="s">
        <v>46</v>
      </c>
      <c r="D177" s="19">
        <v>2117.1999999999998</v>
      </c>
      <c r="E177" s="19">
        <f t="shared" si="18"/>
        <v>-0.45815227659171676</v>
      </c>
      <c r="F177" s="19">
        <v>177.2</v>
      </c>
      <c r="G177" s="19">
        <f t="shared" si="13"/>
        <v>2.2009029345372522</v>
      </c>
      <c r="H177" s="19">
        <v>167.3</v>
      </c>
      <c r="I177" s="19">
        <f t="shared" si="14"/>
        <v>2.8690974297668648</v>
      </c>
      <c r="J177" s="19">
        <v>159.4</v>
      </c>
      <c r="K177" s="19">
        <f t="shared" si="15"/>
        <v>2.5094102885821812</v>
      </c>
      <c r="L177" s="79">
        <v>170.7</v>
      </c>
      <c r="M177" s="19">
        <f t="shared" si="16"/>
        <v>-4085.0000000000032</v>
      </c>
      <c r="N177" s="86" t="str">
        <f t="shared" si="17"/>
        <v>After</v>
      </c>
    </row>
    <row r="178" spans="1:14" x14ac:dyDescent="0.55000000000000004">
      <c r="A178" s="14" t="s">
        <v>34</v>
      </c>
      <c r="B178" s="19">
        <v>2022</v>
      </c>
      <c r="C178" s="19" t="s">
        <v>46</v>
      </c>
      <c r="D178" s="19">
        <v>2107.5</v>
      </c>
      <c r="E178" s="19">
        <f t="shared" si="18"/>
        <v>-100</v>
      </c>
      <c r="F178" s="19">
        <v>181.1</v>
      </c>
      <c r="G178" s="19">
        <f t="shared" si="13"/>
        <v>-100</v>
      </c>
      <c r="H178" s="19">
        <v>172.1</v>
      </c>
      <c r="I178" s="19">
        <f t="shared" si="14"/>
        <v>-100</v>
      </c>
      <c r="J178" s="19">
        <v>163.4</v>
      </c>
      <c r="K178" s="19">
        <f t="shared" si="15"/>
        <v>-100</v>
      </c>
      <c r="L178" s="78">
        <v>170.7</v>
      </c>
      <c r="M178" s="19">
        <f t="shared" si="16"/>
        <v>-100</v>
      </c>
      <c r="N178" s="87" t="str">
        <f t="shared" si="17"/>
        <v>After</v>
      </c>
    </row>
    <row r="179" spans="1:14" x14ac:dyDescent="0.55000000000000004">
      <c r="B179" s="1"/>
      <c r="C179" s="1"/>
      <c r="F179" s="1"/>
      <c r="G179" s="1"/>
      <c r="H179" s="1"/>
      <c r="I179" s="1"/>
      <c r="J179" s="1"/>
      <c r="K179" s="1"/>
      <c r="M179" s="1"/>
    </row>
    <row r="180" spans="1:14" x14ac:dyDescent="0.55000000000000004">
      <c r="B180" s="1"/>
      <c r="C180" s="1"/>
      <c r="F180" s="1"/>
      <c r="G180" s="1"/>
      <c r="H180" s="1"/>
      <c r="I180" s="1"/>
      <c r="J180" s="1"/>
      <c r="K180" s="1"/>
      <c r="M180" s="1"/>
    </row>
    <row r="181" spans="1:14" x14ac:dyDescent="0.55000000000000004">
      <c r="B181" s="1"/>
      <c r="C181" s="1"/>
      <c r="F181" s="1"/>
      <c r="G181" s="1"/>
      <c r="H181" s="1"/>
      <c r="I181" s="1"/>
      <c r="J181" s="1"/>
      <c r="K181" s="1"/>
      <c r="M181" s="1"/>
    </row>
    <row r="182" spans="1:14" x14ac:dyDescent="0.55000000000000004">
      <c r="B182" s="1"/>
      <c r="C182" s="1"/>
      <c r="F182" s="1"/>
      <c r="G182" s="1"/>
      <c r="H182" s="1"/>
      <c r="I182" s="1"/>
      <c r="J182" s="1"/>
      <c r="K182" s="1"/>
      <c r="M182" s="1"/>
    </row>
    <row r="183" spans="1:14" x14ac:dyDescent="0.55000000000000004">
      <c r="B183" s="1"/>
      <c r="C183" s="1"/>
      <c r="F183" s="1"/>
      <c r="G183" s="1"/>
      <c r="H183" s="1"/>
      <c r="I183" s="1"/>
      <c r="J183" s="1"/>
      <c r="K183" s="1"/>
      <c r="M183" s="1"/>
    </row>
    <row r="184" spans="1:14" x14ac:dyDescent="0.55000000000000004">
      <c r="B184" s="1"/>
      <c r="C184" s="1"/>
      <c r="F184" s="1"/>
      <c r="G184" s="1"/>
      <c r="H184" s="1"/>
      <c r="I184" s="1"/>
      <c r="J184" s="1"/>
      <c r="K184" s="1"/>
      <c r="M184" s="1"/>
    </row>
    <row r="185" spans="1:14" x14ac:dyDescent="0.55000000000000004">
      <c r="B185" s="1"/>
      <c r="C185" s="1"/>
      <c r="F185" s="1"/>
      <c r="G185" s="1"/>
      <c r="H185" s="1"/>
      <c r="I185" s="1"/>
      <c r="J185" s="1"/>
      <c r="K185" s="1"/>
      <c r="M185" s="1"/>
    </row>
    <row r="186" spans="1:14" x14ac:dyDescent="0.55000000000000004">
      <c r="B186" s="1"/>
      <c r="C186" s="1"/>
      <c r="F186" s="1"/>
      <c r="G186" s="1"/>
      <c r="H186" s="1"/>
      <c r="I186" s="1"/>
      <c r="J186" s="1"/>
      <c r="K186" s="1"/>
      <c r="M186" s="1"/>
    </row>
    <row r="187" spans="1:14" x14ac:dyDescent="0.55000000000000004">
      <c r="B187" s="1"/>
      <c r="C187" s="1"/>
      <c r="F187" s="1"/>
      <c r="G187" s="1"/>
      <c r="H187" s="1"/>
      <c r="I187" s="1"/>
      <c r="J187" s="1"/>
      <c r="K187" s="1"/>
      <c r="M187" s="1"/>
    </row>
    <row r="188" spans="1:14" x14ac:dyDescent="0.55000000000000004">
      <c r="B188" s="1"/>
      <c r="C188" s="1"/>
      <c r="F188" s="1"/>
      <c r="G188" s="1"/>
      <c r="H188" s="1"/>
      <c r="I188" s="1"/>
      <c r="J188" s="1"/>
      <c r="K188" s="1"/>
      <c r="M188" s="1"/>
    </row>
    <row r="189" spans="1:14" x14ac:dyDescent="0.55000000000000004">
      <c r="B189" s="1"/>
      <c r="C189" s="1"/>
      <c r="F189" s="1"/>
      <c r="G189" s="1"/>
      <c r="H189" s="1"/>
      <c r="I189" s="1"/>
      <c r="J189" s="1"/>
      <c r="K189" s="1"/>
      <c r="M189" s="1"/>
    </row>
    <row r="190" spans="1:14" x14ac:dyDescent="0.55000000000000004">
      <c r="B190" s="1"/>
      <c r="C190" s="1"/>
      <c r="F190" s="1"/>
      <c r="G190" s="1"/>
      <c r="H190" s="1"/>
      <c r="I190" s="1"/>
      <c r="J190" s="1"/>
      <c r="K190" s="1"/>
      <c r="M190" s="1"/>
    </row>
    <row r="191" spans="1:14" x14ac:dyDescent="0.55000000000000004">
      <c r="B191" s="1"/>
      <c r="C191" s="1"/>
      <c r="F191" s="1"/>
      <c r="G191" s="1"/>
      <c r="H191" s="1"/>
      <c r="I191" s="1"/>
      <c r="J191" s="1"/>
      <c r="K191" s="1"/>
      <c r="M191" s="1"/>
    </row>
    <row r="192" spans="1:14" x14ac:dyDescent="0.55000000000000004">
      <c r="B192" s="1"/>
      <c r="C192" s="1"/>
      <c r="F192" s="1"/>
      <c r="G192" s="1"/>
      <c r="H192" s="1"/>
      <c r="I192" s="1"/>
      <c r="J192" s="1"/>
      <c r="K192" s="1"/>
      <c r="M192" s="1"/>
    </row>
    <row r="193" spans="2:13" x14ac:dyDescent="0.55000000000000004">
      <c r="B193" s="1"/>
      <c r="C193" s="1"/>
      <c r="F193" s="1"/>
      <c r="G193" s="1"/>
      <c r="H193" s="1"/>
      <c r="I193" s="1"/>
      <c r="J193" s="1"/>
      <c r="K193" s="1"/>
      <c r="M193" s="1"/>
    </row>
    <row r="194" spans="2:13" x14ac:dyDescent="0.55000000000000004">
      <c r="M194" s="1"/>
    </row>
    <row r="195" spans="2:13" x14ac:dyDescent="0.55000000000000004">
      <c r="M195" s="1"/>
    </row>
    <row r="196" spans="2:13" x14ac:dyDescent="0.55000000000000004">
      <c r="M196" s="1"/>
    </row>
    <row r="197" spans="2:13" x14ac:dyDescent="0.55000000000000004">
      <c r="M197" s="1"/>
    </row>
    <row r="198" spans="2:13" x14ac:dyDescent="0.55000000000000004">
      <c r="M198" s="1"/>
    </row>
    <row r="199" spans="2:13" x14ac:dyDescent="0.55000000000000004">
      <c r="M199" s="1"/>
    </row>
    <row r="200" spans="2:13" x14ac:dyDescent="0.55000000000000004">
      <c r="M200" s="1"/>
    </row>
    <row r="201" spans="2:13" x14ac:dyDescent="0.55000000000000004">
      <c r="M201" s="1"/>
    </row>
    <row r="202" spans="2:13" x14ac:dyDescent="0.55000000000000004">
      <c r="M202" s="1"/>
    </row>
    <row r="203" spans="2:13" x14ac:dyDescent="0.55000000000000004">
      <c r="M203" s="1"/>
    </row>
    <row r="204" spans="2:13" x14ac:dyDescent="0.55000000000000004">
      <c r="M204" s="1"/>
    </row>
    <row r="205" spans="2:13" x14ac:dyDescent="0.55000000000000004">
      <c r="M205" s="1"/>
    </row>
    <row r="206" spans="2:13" x14ac:dyDescent="0.55000000000000004">
      <c r="M206" s="1"/>
    </row>
    <row r="207" spans="2:13" x14ac:dyDescent="0.55000000000000004">
      <c r="M207" s="1"/>
    </row>
    <row r="208" spans="2:13" x14ac:dyDescent="0.55000000000000004">
      <c r="M208" s="1"/>
    </row>
    <row r="209" spans="13:13" x14ac:dyDescent="0.55000000000000004">
      <c r="M209" s="1"/>
    </row>
    <row r="210" spans="13:13" x14ac:dyDescent="0.55000000000000004">
      <c r="M210" s="1"/>
    </row>
    <row r="211" spans="13:13" x14ac:dyDescent="0.55000000000000004">
      <c r="M211" s="1"/>
    </row>
    <row r="212" spans="13:13" x14ac:dyDescent="0.55000000000000004">
      <c r="M212" s="1"/>
    </row>
    <row r="213" spans="13:13" x14ac:dyDescent="0.55000000000000004">
      <c r="M213" s="1"/>
    </row>
    <row r="214" spans="13:13" x14ac:dyDescent="0.55000000000000004">
      <c r="M214" s="1"/>
    </row>
    <row r="215" spans="13:13" x14ac:dyDescent="0.55000000000000004">
      <c r="M215" s="1"/>
    </row>
    <row r="216" spans="13:13" x14ac:dyDescent="0.55000000000000004">
      <c r="M216" s="1"/>
    </row>
    <row r="217" spans="13:13" x14ac:dyDescent="0.55000000000000004">
      <c r="M217" s="1"/>
    </row>
    <row r="218" spans="13:13" x14ac:dyDescent="0.55000000000000004">
      <c r="M218" s="1"/>
    </row>
    <row r="219" spans="13:13" x14ac:dyDescent="0.55000000000000004">
      <c r="M219" s="1"/>
    </row>
    <row r="220" spans="13:13" x14ac:dyDescent="0.55000000000000004">
      <c r="M220" s="1"/>
    </row>
    <row r="221" spans="13:13" x14ac:dyDescent="0.55000000000000004">
      <c r="M221" s="1"/>
    </row>
    <row r="222" spans="13:13" x14ac:dyDescent="0.55000000000000004">
      <c r="M222" s="1"/>
    </row>
    <row r="223" spans="13:13" x14ac:dyDescent="0.55000000000000004">
      <c r="M223" s="1"/>
    </row>
    <row r="224" spans="13:13" x14ac:dyDescent="0.55000000000000004">
      <c r="M224" s="1"/>
    </row>
    <row r="225" spans="13:13" x14ac:dyDescent="0.55000000000000004">
      <c r="M225" s="1"/>
    </row>
    <row r="226" spans="13:13" x14ac:dyDescent="0.55000000000000004">
      <c r="M226" s="1"/>
    </row>
    <row r="227" spans="13:13" x14ac:dyDescent="0.55000000000000004">
      <c r="M227" s="1"/>
    </row>
    <row r="228" spans="13:13" x14ac:dyDescent="0.55000000000000004">
      <c r="M228" s="1"/>
    </row>
    <row r="229" spans="13:13" x14ac:dyDescent="0.55000000000000004">
      <c r="M229" s="1"/>
    </row>
    <row r="230" spans="13:13" x14ac:dyDescent="0.55000000000000004">
      <c r="M230" s="1"/>
    </row>
    <row r="231" spans="13:13" x14ac:dyDescent="0.55000000000000004">
      <c r="M231" s="1"/>
    </row>
    <row r="232" spans="13:13" x14ac:dyDescent="0.55000000000000004">
      <c r="M232" s="1"/>
    </row>
    <row r="233" spans="13:13" x14ac:dyDescent="0.55000000000000004">
      <c r="M233" s="1"/>
    </row>
    <row r="234" spans="13:13" x14ac:dyDescent="0.55000000000000004">
      <c r="M234" s="1"/>
    </row>
    <row r="235" spans="13:13" x14ac:dyDescent="0.55000000000000004">
      <c r="M235" s="1"/>
    </row>
    <row r="236" spans="13:13" x14ac:dyDescent="0.55000000000000004">
      <c r="M236" s="1"/>
    </row>
    <row r="237" spans="13:13" x14ac:dyDescent="0.55000000000000004">
      <c r="M237" s="1"/>
    </row>
    <row r="238" spans="13:13" x14ac:dyDescent="0.55000000000000004">
      <c r="M238" s="1"/>
    </row>
    <row r="239" spans="13:13" x14ac:dyDescent="0.55000000000000004">
      <c r="M239" s="1"/>
    </row>
    <row r="240" spans="13:13" x14ac:dyDescent="0.55000000000000004">
      <c r="M240" s="1"/>
    </row>
    <row r="241" spans="13:13" x14ac:dyDescent="0.55000000000000004">
      <c r="M241" s="1"/>
    </row>
    <row r="242" spans="13:13" x14ac:dyDescent="0.55000000000000004">
      <c r="M242" s="1"/>
    </row>
    <row r="243" spans="13:13" x14ac:dyDescent="0.55000000000000004">
      <c r="M243" s="1"/>
    </row>
    <row r="244" spans="13:13" x14ac:dyDescent="0.55000000000000004">
      <c r="M244" s="1"/>
    </row>
    <row r="245" spans="13:13" x14ac:dyDescent="0.55000000000000004">
      <c r="M245" s="1"/>
    </row>
    <row r="246" spans="13:13" x14ac:dyDescent="0.55000000000000004">
      <c r="M246" s="1"/>
    </row>
    <row r="247" spans="13:13" x14ac:dyDescent="0.55000000000000004">
      <c r="M247" s="1"/>
    </row>
    <row r="248" spans="13:13" x14ac:dyDescent="0.55000000000000004">
      <c r="M248" s="1"/>
    </row>
    <row r="249" spans="13:13" x14ac:dyDescent="0.55000000000000004">
      <c r="M249" s="1"/>
    </row>
    <row r="250" spans="13:13" x14ac:dyDescent="0.55000000000000004">
      <c r="M250" s="1"/>
    </row>
    <row r="251" spans="13:13" x14ac:dyDescent="0.55000000000000004">
      <c r="M251" s="1"/>
    </row>
    <row r="252" spans="13:13" x14ac:dyDescent="0.55000000000000004">
      <c r="M252" s="1"/>
    </row>
    <row r="253" spans="13:13" x14ac:dyDescent="0.55000000000000004">
      <c r="M253" s="1"/>
    </row>
    <row r="254" spans="13:13" x14ac:dyDescent="0.55000000000000004">
      <c r="M254" s="1"/>
    </row>
    <row r="255" spans="13:13" x14ac:dyDescent="0.55000000000000004">
      <c r="M255" s="1"/>
    </row>
    <row r="256" spans="13:13" x14ac:dyDescent="0.55000000000000004">
      <c r="M256" s="1"/>
    </row>
    <row r="257" spans="13:13" x14ac:dyDescent="0.55000000000000004">
      <c r="M257" s="1"/>
    </row>
    <row r="258" spans="13:13" x14ac:dyDescent="0.55000000000000004">
      <c r="M258" s="1"/>
    </row>
    <row r="259" spans="13:13" x14ac:dyDescent="0.55000000000000004">
      <c r="M259" s="1"/>
    </row>
    <row r="260" spans="13:13" x14ac:dyDescent="0.55000000000000004">
      <c r="M260" s="1"/>
    </row>
    <row r="261" spans="13:13" x14ac:dyDescent="0.55000000000000004">
      <c r="M261" s="1"/>
    </row>
    <row r="262" spans="13:13" x14ac:dyDescent="0.55000000000000004">
      <c r="M262" s="1"/>
    </row>
    <row r="263" spans="13:13" x14ac:dyDescent="0.55000000000000004">
      <c r="M263" s="1"/>
    </row>
    <row r="264" spans="13:13" x14ac:dyDescent="0.55000000000000004">
      <c r="M264" s="1"/>
    </row>
    <row r="265" spans="13:13" x14ac:dyDescent="0.55000000000000004">
      <c r="M265" s="1"/>
    </row>
    <row r="266" spans="13:13" x14ac:dyDescent="0.55000000000000004">
      <c r="M266" s="1"/>
    </row>
    <row r="267" spans="13:13" x14ac:dyDescent="0.55000000000000004">
      <c r="M267" s="1"/>
    </row>
    <row r="268" spans="13:13" x14ac:dyDescent="0.55000000000000004">
      <c r="M268" s="1"/>
    </row>
    <row r="269" spans="13:13" x14ac:dyDescent="0.55000000000000004">
      <c r="M269" s="1"/>
    </row>
    <row r="270" spans="13:13" x14ac:dyDescent="0.55000000000000004">
      <c r="M270" s="1"/>
    </row>
    <row r="271" spans="13:13" x14ac:dyDescent="0.55000000000000004">
      <c r="M271" s="1"/>
    </row>
    <row r="272" spans="13:13" x14ac:dyDescent="0.55000000000000004">
      <c r="M272" s="1"/>
    </row>
    <row r="273" spans="13:13" x14ac:dyDescent="0.55000000000000004">
      <c r="M273" s="1"/>
    </row>
    <row r="274" spans="13:13" x14ac:dyDescent="0.55000000000000004">
      <c r="M274" s="1"/>
    </row>
    <row r="275" spans="13:13" x14ac:dyDescent="0.55000000000000004">
      <c r="M275" s="1"/>
    </row>
    <row r="276" spans="13:13" x14ac:dyDescent="0.55000000000000004">
      <c r="M276" s="1"/>
    </row>
    <row r="277" spans="13:13" x14ac:dyDescent="0.55000000000000004">
      <c r="M277" s="1"/>
    </row>
    <row r="278" spans="13:13" x14ac:dyDescent="0.55000000000000004">
      <c r="M278" s="1"/>
    </row>
    <row r="279" spans="13:13" x14ac:dyDescent="0.55000000000000004">
      <c r="M279" s="1"/>
    </row>
    <row r="280" spans="13:13" x14ac:dyDescent="0.55000000000000004">
      <c r="M280" s="1"/>
    </row>
    <row r="281" spans="13:13" x14ac:dyDescent="0.55000000000000004">
      <c r="M281" s="1"/>
    </row>
    <row r="282" spans="13:13" x14ac:dyDescent="0.55000000000000004">
      <c r="M282" s="1"/>
    </row>
    <row r="283" spans="13:13" x14ac:dyDescent="0.55000000000000004">
      <c r="M283" s="1"/>
    </row>
    <row r="284" spans="13:13" x14ac:dyDescent="0.55000000000000004">
      <c r="M284" s="1"/>
    </row>
    <row r="285" spans="13:13" x14ac:dyDescent="0.55000000000000004">
      <c r="M285" s="1"/>
    </row>
    <row r="286" spans="13:13" x14ac:dyDescent="0.55000000000000004">
      <c r="M286" s="1"/>
    </row>
    <row r="287" spans="13:13" x14ac:dyDescent="0.55000000000000004">
      <c r="M287" s="1"/>
    </row>
    <row r="288" spans="13:13" x14ac:dyDescent="0.55000000000000004">
      <c r="M288" s="1"/>
    </row>
    <row r="289" spans="13:13" x14ac:dyDescent="0.55000000000000004">
      <c r="M289" s="1"/>
    </row>
    <row r="290" spans="13:13" x14ac:dyDescent="0.55000000000000004">
      <c r="M290" s="1"/>
    </row>
    <row r="291" spans="13:13" x14ac:dyDescent="0.55000000000000004">
      <c r="M291" s="1"/>
    </row>
    <row r="292" spans="13:13" x14ac:dyDescent="0.55000000000000004">
      <c r="M292" s="1"/>
    </row>
    <row r="293" spans="13:13" x14ac:dyDescent="0.55000000000000004">
      <c r="M293" s="1"/>
    </row>
    <row r="294" spans="13:13" x14ac:dyDescent="0.55000000000000004">
      <c r="M294" s="1"/>
    </row>
    <row r="295" spans="13:13" x14ac:dyDescent="0.55000000000000004">
      <c r="M295" s="1"/>
    </row>
    <row r="296" spans="13:13" x14ac:dyDescent="0.55000000000000004">
      <c r="M296" s="1"/>
    </row>
    <row r="297" spans="13:13" x14ac:dyDescent="0.55000000000000004">
      <c r="M297" s="1"/>
    </row>
    <row r="298" spans="13:13" x14ac:dyDescent="0.55000000000000004">
      <c r="M298" s="1"/>
    </row>
    <row r="299" spans="13:13" x14ac:dyDescent="0.55000000000000004">
      <c r="M299" s="1"/>
    </row>
    <row r="300" spans="13:13" x14ac:dyDescent="0.55000000000000004">
      <c r="M300" s="1"/>
    </row>
    <row r="301" spans="13:13" x14ac:dyDescent="0.55000000000000004">
      <c r="M301" s="1"/>
    </row>
    <row r="302" spans="13:13" x14ac:dyDescent="0.55000000000000004">
      <c r="M302" s="1"/>
    </row>
    <row r="303" spans="13:13" x14ac:dyDescent="0.55000000000000004">
      <c r="M303" s="1"/>
    </row>
    <row r="304" spans="13:13" x14ac:dyDescent="0.55000000000000004">
      <c r="M304" s="1"/>
    </row>
    <row r="305" spans="13:13" x14ac:dyDescent="0.55000000000000004">
      <c r="M305" s="1"/>
    </row>
    <row r="306" spans="13:13" x14ac:dyDescent="0.55000000000000004">
      <c r="M306" s="1"/>
    </row>
    <row r="307" spans="13:13" x14ac:dyDescent="0.55000000000000004">
      <c r="M307" s="1"/>
    </row>
    <row r="308" spans="13:13" x14ac:dyDescent="0.55000000000000004">
      <c r="M308" s="1"/>
    </row>
    <row r="309" spans="13:13" x14ac:dyDescent="0.55000000000000004">
      <c r="M309" s="1"/>
    </row>
    <row r="310" spans="13:13" x14ac:dyDescent="0.55000000000000004">
      <c r="M310" s="1"/>
    </row>
    <row r="311" spans="13:13" x14ac:dyDescent="0.55000000000000004">
      <c r="M311" s="1"/>
    </row>
    <row r="312" spans="13:13" x14ac:dyDescent="0.55000000000000004">
      <c r="M312" s="1"/>
    </row>
    <row r="313" spans="13:13" x14ac:dyDescent="0.55000000000000004">
      <c r="M313" s="1"/>
    </row>
    <row r="314" spans="13:13" x14ac:dyDescent="0.55000000000000004">
      <c r="M314" s="1"/>
    </row>
    <row r="315" spans="13:13" x14ac:dyDescent="0.55000000000000004">
      <c r="M315" s="1"/>
    </row>
    <row r="316" spans="13:13" x14ac:dyDescent="0.55000000000000004">
      <c r="M316" s="1"/>
    </row>
    <row r="317" spans="13:13" x14ac:dyDescent="0.55000000000000004">
      <c r="M317" s="1"/>
    </row>
    <row r="318" spans="13:13" x14ac:dyDescent="0.55000000000000004">
      <c r="M318" s="1"/>
    </row>
    <row r="319" spans="13:13" x14ac:dyDescent="0.55000000000000004">
      <c r="M319" s="1"/>
    </row>
    <row r="320" spans="13:13" x14ac:dyDescent="0.55000000000000004">
      <c r="M320" s="1"/>
    </row>
    <row r="321" spans="13:13" x14ac:dyDescent="0.55000000000000004">
      <c r="M321" s="1"/>
    </row>
    <row r="322" spans="13:13" x14ac:dyDescent="0.55000000000000004">
      <c r="M322" s="1"/>
    </row>
    <row r="323" spans="13:13" x14ac:dyDescent="0.55000000000000004">
      <c r="M323" s="1"/>
    </row>
    <row r="324" spans="13:13" x14ac:dyDescent="0.55000000000000004">
      <c r="M324" s="1"/>
    </row>
    <row r="325" spans="13:13" x14ac:dyDescent="0.55000000000000004">
      <c r="M325" s="1"/>
    </row>
    <row r="326" spans="13:13" x14ac:dyDescent="0.55000000000000004">
      <c r="M326" s="1"/>
    </row>
    <row r="327" spans="13:13" x14ac:dyDescent="0.55000000000000004">
      <c r="M327" s="1"/>
    </row>
    <row r="328" spans="13:13" x14ac:dyDescent="0.55000000000000004">
      <c r="M328" s="1"/>
    </row>
    <row r="329" spans="13:13" x14ac:dyDescent="0.55000000000000004">
      <c r="M329" s="1"/>
    </row>
    <row r="330" spans="13:13" x14ac:dyDescent="0.55000000000000004">
      <c r="M330" s="1"/>
    </row>
    <row r="331" spans="13:13" x14ac:dyDescent="0.55000000000000004">
      <c r="M331" s="1"/>
    </row>
    <row r="332" spans="13:13" x14ac:dyDescent="0.55000000000000004">
      <c r="M332" s="1"/>
    </row>
    <row r="333" spans="13:13" x14ac:dyDescent="0.55000000000000004">
      <c r="M333" s="1"/>
    </row>
    <row r="334" spans="13:13" x14ac:dyDescent="0.55000000000000004">
      <c r="M334" s="1"/>
    </row>
    <row r="335" spans="13:13" x14ac:dyDescent="0.55000000000000004">
      <c r="M335" s="1"/>
    </row>
    <row r="336" spans="13:13" x14ac:dyDescent="0.55000000000000004">
      <c r="M336" s="1"/>
    </row>
    <row r="337" spans="13:13" x14ac:dyDescent="0.55000000000000004">
      <c r="M337" s="1"/>
    </row>
    <row r="338" spans="13:13" x14ac:dyDescent="0.55000000000000004">
      <c r="M338" s="1"/>
    </row>
    <row r="339" spans="13:13" x14ac:dyDescent="0.55000000000000004">
      <c r="M339" s="1"/>
    </row>
    <row r="340" spans="13:13" x14ac:dyDescent="0.55000000000000004">
      <c r="M340" s="1"/>
    </row>
    <row r="341" spans="13:13" x14ac:dyDescent="0.55000000000000004">
      <c r="M341" s="1"/>
    </row>
    <row r="342" spans="13:13" x14ac:dyDescent="0.55000000000000004">
      <c r="M342" s="1"/>
    </row>
    <row r="343" spans="13:13" x14ac:dyDescent="0.55000000000000004">
      <c r="M343" s="1"/>
    </row>
    <row r="344" spans="13:13" x14ac:dyDescent="0.55000000000000004">
      <c r="M344" s="1"/>
    </row>
    <row r="345" spans="13:13" x14ac:dyDescent="0.55000000000000004">
      <c r="M345" s="1"/>
    </row>
    <row r="346" spans="13:13" x14ac:dyDescent="0.55000000000000004">
      <c r="M346" s="1"/>
    </row>
    <row r="347" spans="13:13" x14ac:dyDescent="0.55000000000000004">
      <c r="M347" s="1"/>
    </row>
    <row r="348" spans="13:13" x14ac:dyDescent="0.55000000000000004">
      <c r="M348" s="1"/>
    </row>
    <row r="349" spans="13:13" x14ac:dyDescent="0.55000000000000004">
      <c r="M349" s="1"/>
    </row>
    <row r="350" spans="13:13" x14ac:dyDescent="0.55000000000000004">
      <c r="M350" s="1"/>
    </row>
    <row r="351" spans="13:13" x14ac:dyDescent="0.55000000000000004">
      <c r="M351" s="1"/>
    </row>
    <row r="352" spans="13:13" x14ac:dyDescent="0.55000000000000004">
      <c r="M352" s="1"/>
    </row>
    <row r="353" spans="13:13" x14ac:dyDescent="0.55000000000000004">
      <c r="M353" s="1"/>
    </row>
    <row r="354" spans="13:13" x14ac:dyDescent="0.55000000000000004">
      <c r="M354" s="1"/>
    </row>
    <row r="355" spans="13:13" x14ac:dyDescent="0.55000000000000004">
      <c r="M355" s="1"/>
    </row>
    <row r="356" spans="13:13" x14ac:dyDescent="0.55000000000000004">
      <c r="M356" s="1"/>
    </row>
    <row r="357" spans="13:13" x14ac:dyDescent="0.55000000000000004">
      <c r="M357" s="1"/>
    </row>
    <row r="358" spans="13:13" x14ac:dyDescent="0.55000000000000004">
      <c r="M358" s="1"/>
    </row>
    <row r="359" spans="13:13" x14ac:dyDescent="0.55000000000000004">
      <c r="M359" s="1"/>
    </row>
    <row r="360" spans="13:13" x14ac:dyDescent="0.55000000000000004">
      <c r="M360" s="1"/>
    </row>
    <row r="361" spans="13:13" x14ac:dyDescent="0.55000000000000004">
      <c r="M361" s="1"/>
    </row>
    <row r="362" spans="13:13" x14ac:dyDescent="0.55000000000000004">
      <c r="M362" s="1"/>
    </row>
    <row r="363" spans="13:13" x14ac:dyDescent="0.55000000000000004">
      <c r="M363" s="1"/>
    </row>
    <row r="364" spans="13:13" x14ac:dyDescent="0.55000000000000004">
      <c r="M364" s="1"/>
    </row>
    <row r="365" spans="13:13" x14ac:dyDescent="0.55000000000000004">
      <c r="M365" s="1"/>
    </row>
    <row r="366" spans="13:13" x14ac:dyDescent="0.55000000000000004">
      <c r="M366" s="1"/>
    </row>
    <row r="367" spans="13:13" x14ac:dyDescent="0.55000000000000004">
      <c r="M367" s="1"/>
    </row>
    <row r="368" spans="13:13" x14ac:dyDescent="0.55000000000000004">
      <c r="M368" s="1"/>
    </row>
    <row r="369" spans="13:13" x14ac:dyDescent="0.55000000000000004">
      <c r="M369" s="1"/>
    </row>
    <row r="370" spans="13:13" x14ac:dyDescent="0.55000000000000004">
      <c r="M370" s="1"/>
    </row>
    <row r="371" spans="13:13" x14ac:dyDescent="0.55000000000000004">
      <c r="M371" s="1"/>
    </row>
    <row r="372" spans="13:13" x14ac:dyDescent="0.55000000000000004">
      <c r="M372" s="1"/>
    </row>
    <row r="373" spans="13:13" x14ac:dyDescent="0.55000000000000004">
      <c r="M373" s="1"/>
    </row>
  </sheetData>
  <autoFilter ref="A1:L373" xr:uid="{809220BD-BBE3-4598-84E8-2E9BECF21EB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9971-235F-4DCA-9840-601C8EE3518E}">
  <dimension ref="A1:U19"/>
  <sheetViews>
    <sheetView zoomScale="71" workbookViewId="0">
      <selection activeCell="R21" sqref="R21"/>
    </sheetView>
  </sheetViews>
  <sheetFormatPr defaultRowHeight="14.4" x14ac:dyDescent="0.55000000000000004"/>
  <cols>
    <col min="1" max="1" width="12.05078125" bestFit="1" customWidth="1"/>
    <col min="2" max="2" width="27.89453125" bestFit="1" customWidth="1"/>
    <col min="3" max="3" width="21.68359375" bestFit="1" customWidth="1"/>
    <col min="4" max="4" width="38.7890625" bestFit="1" customWidth="1"/>
    <col min="5" max="5" width="41.20703125" bestFit="1" customWidth="1"/>
    <col min="6" max="6" width="22.89453125" bestFit="1" customWidth="1"/>
    <col min="7" max="7" width="27.89453125" bestFit="1" customWidth="1"/>
    <col min="8" max="8" width="21.68359375" bestFit="1" customWidth="1"/>
    <col min="9" max="9" width="38.7890625" bestFit="1" customWidth="1"/>
    <col min="10" max="10" width="41.20703125" bestFit="1" customWidth="1"/>
    <col min="11" max="11" width="22.89453125" bestFit="1" customWidth="1"/>
    <col min="12" max="12" width="27.89453125" bestFit="1" customWidth="1"/>
    <col min="13" max="13" width="21.68359375" bestFit="1" customWidth="1"/>
    <col min="14" max="14" width="38.7890625" bestFit="1" customWidth="1"/>
    <col min="15" max="15" width="41.20703125" bestFit="1" customWidth="1"/>
    <col min="16" max="16" width="22.89453125" bestFit="1" customWidth="1"/>
    <col min="17" max="17" width="32.47265625" bestFit="1" customWidth="1"/>
    <col min="18" max="18" width="26.26171875" bestFit="1" customWidth="1"/>
    <col min="19" max="19" width="43.3671875" bestFit="1" customWidth="1"/>
    <col min="20" max="20" width="45.7890625" bestFit="1" customWidth="1"/>
    <col min="21" max="21" width="27.47265625" bestFit="1" customWidth="1"/>
  </cols>
  <sheetData>
    <row r="1" spans="1:21" x14ac:dyDescent="0.55000000000000004">
      <c r="A1" s="16" t="s">
        <v>1</v>
      </c>
      <c r="B1" t="s">
        <v>154</v>
      </c>
    </row>
    <row r="3" spans="1:21" x14ac:dyDescent="0.55000000000000004">
      <c r="B3" s="16" t="s">
        <v>157</v>
      </c>
    </row>
    <row r="4" spans="1:21" x14ac:dyDescent="0.55000000000000004">
      <c r="B4" t="s">
        <v>158</v>
      </c>
      <c r="G4" t="s">
        <v>159</v>
      </c>
      <c r="L4" t="s">
        <v>160</v>
      </c>
      <c r="Q4" t="s">
        <v>161</v>
      </c>
      <c r="R4" t="s">
        <v>162</v>
      </c>
      <c r="S4" t="s">
        <v>164</v>
      </c>
      <c r="T4" t="s">
        <v>166</v>
      </c>
      <c r="U4" t="s">
        <v>168</v>
      </c>
    </row>
    <row r="5" spans="1:21" x14ac:dyDescent="0.55000000000000004">
      <c r="A5" s="16" t="s">
        <v>54</v>
      </c>
      <c r="B5" t="s">
        <v>155</v>
      </c>
      <c r="C5" t="s">
        <v>163</v>
      </c>
      <c r="D5" t="s">
        <v>165</v>
      </c>
      <c r="E5" t="s">
        <v>167</v>
      </c>
      <c r="F5" t="s">
        <v>169</v>
      </c>
      <c r="G5" t="s">
        <v>155</v>
      </c>
      <c r="H5" t="s">
        <v>163</v>
      </c>
      <c r="I5" t="s">
        <v>165</v>
      </c>
      <c r="J5" t="s">
        <v>167</v>
      </c>
      <c r="K5" t="s">
        <v>169</v>
      </c>
      <c r="L5" t="s">
        <v>155</v>
      </c>
      <c r="M5" t="s">
        <v>163</v>
      </c>
      <c r="N5" t="s">
        <v>165</v>
      </c>
      <c r="O5" t="s">
        <v>167</v>
      </c>
      <c r="P5" t="s">
        <v>169</v>
      </c>
    </row>
    <row r="6" spans="1:21" x14ac:dyDescent="0.55000000000000004">
      <c r="A6" s="2" t="s">
        <v>31</v>
      </c>
      <c r="B6">
        <v>-0.32379352896833763</v>
      </c>
      <c r="C6">
        <v>0.31457280252876557</v>
      </c>
      <c r="D6">
        <v>0.25146382237840426</v>
      </c>
      <c r="E6">
        <v>0.4615784862108841</v>
      </c>
      <c r="F6">
        <v>-116.18623860994006</v>
      </c>
      <c r="G6">
        <v>-0.16110086604494422</v>
      </c>
      <c r="H6">
        <v>0.17995232026464439</v>
      </c>
      <c r="I6">
        <v>0.19951494314943874</v>
      </c>
      <c r="J6">
        <v>0.28139690328637207</v>
      </c>
      <c r="K6">
        <v>-125.69277786250002</v>
      </c>
      <c r="L6">
        <v>-0.47730114967090936</v>
      </c>
      <c r="M6">
        <v>0.2700038165293111</v>
      </c>
      <c r="N6">
        <v>0.17924370981005833</v>
      </c>
      <c r="O6">
        <v>7.3038125091277273E-2</v>
      </c>
      <c r="P6">
        <v>-150.77831987095206</v>
      </c>
      <c r="Q6">
        <v>-0.28941798793949464</v>
      </c>
      <c r="R6">
        <v>0.25181081242322623</v>
      </c>
      <c r="S6">
        <v>0.21624024817314885</v>
      </c>
      <c r="T6">
        <v>0.31179778081715792</v>
      </c>
      <c r="U6">
        <v>-126.90727056316645</v>
      </c>
    </row>
    <row r="7" spans="1:21" x14ac:dyDescent="0.55000000000000004">
      <c r="A7" s="2" t="s">
        <v>35</v>
      </c>
      <c r="B7">
        <v>0.22921800459680397</v>
      </c>
      <c r="C7">
        <v>0.15870473708741914</v>
      </c>
      <c r="D7">
        <v>0.15289047233863862</v>
      </c>
      <c r="E7">
        <v>0.29943044286374249</v>
      </c>
      <c r="F7">
        <v>-122.54043992422591</v>
      </c>
      <c r="G7">
        <v>3.2037462429298134E-2</v>
      </c>
      <c r="H7">
        <v>0.22801551503357484</v>
      </c>
      <c r="I7">
        <v>0.16603618739921724</v>
      </c>
      <c r="J7">
        <v>0.38435452426265143</v>
      </c>
      <c r="K7">
        <v>-122.09046095034644</v>
      </c>
      <c r="L7">
        <v>-0.25720204670050356</v>
      </c>
      <c r="M7">
        <v>0.26565438473750874</v>
      </c>
      <c r="N7">
        <v>8.2409802652142858E-2</v>
      </c>
      <c r="O7">
        <v>0.11777811784533891</v>
      </c>
      <c r="P7">
        <v>-147.68751224913197</v>
      </c>
      <c r="Q7">
        <v>5.3061777470340132E-2</v>
      </c>
      <c r="R7">
        <v>0.20781897779589933</v>
      </c>
      <c r="S7">
        <v>0.14405262442557099</v>
      </c>
      <c r="T7">
        <v>0.29706961041962537</v>
      </c>
      <c r="U7">
        <v>-127.38986279965535</v>
      </c>
    </row>
    <row r="8" spans="1:21" x14ac:dyDescent="0.55000000000000004">
      <c r="A8" s="2" t="s">
        <v>36</v>
      </c>
      <c r="B8">
        <v>0.41620354829483747</v>
      </c>
      <c r="C8">
        <v>0.22361288386287267</v>
      </c>
      <c r="D8">
        <v>0.26083344841045236</v>
      </c>
      <c r="E8">
        <v>0.57230686301633638</v>
      </c>
      <c r="F8">
        <v>-101.59268290242214</v>
      </c>
      <c r="G8">
        <v>0.19355096315275175</v>
      </c>
      <c r="H8">
        <v>0.31731381059771718</v>
      </c>
      <c r="I8">
        <v>0.22573848270223307</v>
      </c>
      <c r="J8">
        <v>0.25480160127220319</v>
      </c>
      <c r="K8">
        <v>-128.59145075506714</v>
      </c>
      <c r="L8">
        <v>-5.3764256271359576</v>
      </c>
      <c r="M8">
        <v>-0.372938698414508</v>
      </c>
      <c r="N8">
        <v>-1.6660006164550876</v>
      </c>
      <c r="O8">
        <v>-2.0112806387825533</v>
      </c>
      <c r="P8">
        <v>-150.19208890095999</v>
      </c>
      <c r="Q8">
        <v>-0.83138332084815569</v>
      </c>
      <c r="R8">
        <v>0.14178293810133435</v>
      </c>
      <c r="S8">
        <v>-0.13857135084594335</v>
      </c>
      <c r="T8">
        <v>-7.1412742041094823E-2</v>
      </c>
      <c r="U8">
        <v>-122.11207124318773</v>
      </c>
    </row>
    <row r="9" spans="1:21" x14ac:dyDescent="0.55000000000000004">
      <c r="A9" s="2" t="s">
        <v>37</v>
      </c>
      <c r="B9">
        <v>0.52516863393158675</v>
      </c>
      <c r="C9">
        <v>0.51399007362656901</v>
      </c>
      <c r="D9">
        <v>0.546961742223386</v>
      </c>
      <c r="E9">
        <v>0.33800284262049402</v>
      </c>
      <c r="F9">
        <v>-118.26195680254371</v>
      </c>
      <c r="G9">
        <v>7.0899992332336861E-2</v>
      </c>
      <c r="H9">
        <v>0.25289085431179742</v>
      </c>
      <c r="I9">
        <v>0.33004514639703625</v>
      </c>
      <c r="J9">
        <v>0.36897923672052713</v>
      </c>
      <c r="K9">
        <v>-114.8449422700259</v>
      </c>
      <c r="L9">
        <v>8.0832167571779472</v>
      </c>
      <c r="M9">
        <v>-1.3465944046976912</v>
      </c>
      <c r="N9">
        <v>0.24490732799253104</v>
      </c>
      <c r="O9">
        <v>0.26165333086131115</v>
      </c>
      <c r="P9">
        <v>-149.87151801040372</v>
      </c>
      <c r="Q9">
        <v>2.3011135043433644</v>
      </c>
      <c r="R9">
        <v>-1.6430850783188917E-2</v>
      </c>
      <c r="S9">
        <v>0.41721898970908483</v>
      </c>
      <c r="T9">
        <v>0.3266595632057066</v>
      </c>
      <c r="U9">
        <v>-125.31009347137926</v>
      </c>
    </row>
    <row r="10" spans="1:21" x14ac:dyDescent="0.55000000000000004">
      <c r="A10" s="2" t="s">
        <v>38</v>
      </c>
      <c r="B10">
        <v>0.3835073800586915</v>
      </c>
      <c r="C10">
        <v>0.16753666052369467</v>
      </c>
      <c r="D10">
        <v>0.25149049306751897</v>
      </c>
      <c r="E10">
        <v>1.3467176409565074E-2</v>
      </c>
      <c r="F10">
        <v>-158.01143779365077</v>
      </c>
      <c r="G10">
        <v>0.29548918407593289</v>
      </c>
      <c r="H10">
        <v>0.15269184917727774</v>
      </c>
      <c r="I10">
        <v>0.20816505771225632</v>
      </c>
      <c r="J10">
        <v>0.2517347009887354</v>
      </c>
      <c r="K10">
        <v>-132.55424085540847</v>
      </c>
      <c r="L10">
        <v>-0.41398608230753436</v>
      </c>
      <c r="M10">
        <v>2.3483474803521607</v>
      </c>
      <c r="N10">
        <v>1.6256310944095482</v>
      </c>
      <c r="O10">
        <v>3.4218461965504336</v>
      </c>
      <c r="P10">
        <v>5181.1862834183221</v>
      </c>
      <c r="Q10">
        <v>0.18880140919234287</v>
      </c>
      <c r="R10">
        <v>0.59776089995082105</v>
      </c>
      <c r="S10">
        <v>0.50898843919381975</v>
      </c>
      <c r="T10">
        <v>0.79044999026940688</v>
      </c>
      <c r="U10">
        <v>920.01098522404072</v>
      </c>
    </row>
    <row r="11" spans="1:21" x14ac:dyDescent="0.55000000000000004">
      <c r="A11" s="2" t="s">
        <v>39</v>
      </c>
      <c r="B11">
        <v>0.11074700431891922</v>
      </c>
      <c r="C11">
        <v>0.18604953527833748</v>
      </c>
      <c r="D11">
        <v>0.29476590766279182</v>
      </c>
      <c r="E11">
        <v>0.46082536459366458</v>
      </c>
      <c r="F11">
        <v>-108.87587769389584</v>
      </c>
      <c r="G11">
        <v>0.40295525200672216</v>
      </c>
      <c r="H11">
        <v>0.23036309659621823</v>
      </c>
      <c r="I11">
        <v>0.2986864520480525</v>
      </c>
      <c r="J11">
        <v>0.27575629295108478</v>
      </c>
      <c r="K11">
        <v>-133.98520507647834</v>
      </c>
      <c r="L11">
        <v>1.2017844983254941E-2</v>
      </c>
      <c r="M11">
        <v>0.11023292240952909</v>
      </c>
      <c r="N11">
        <v>0.14827017525937958</v>
      </c>
      <c r="O11">
        <v>0.19726970303187694</v>
      </c>
      <c r="P11">
        <v>-141.49368179041281</v>
      </c>
      <c r="Q11">
        <v>0.20788447152690759</v>
      </c>
      <c r="R11">
        <v>0.18861163723172811</v>
      </c>
      <c r="S11">
        <v>0.26703497893621364</v>
      </c>
      <c r="T11">
        <v>0.33408660362427511</v>
      </c>
      <c r="U11">
        <v>-125.44316946623225</v>
      </c>
    </row>
    <row r="12" spans="1:21" x14ac:dyDescent="0.55000000000000004">
      <c r="A12" s="2" t="s">
        <v>40</v>
      </c>
      <c r="B12">
        <v>7.4699088940829066E-3</v>
      </c>
      <c r="C12">
        <v>0.18388085352365646</v>
      </c>
      <c r="D12">
        <v>0.24091332806346166</v>
      </c>
      <c r="E12">
        <v>0.16426038230693552</v>
      </c>
      <c r="F12">
        <v>-130.93892124958506</v>
      </c>
      <c r="G12">
        <v>0.15117674478353216</v>
      </c>
      <c r="H12">
        <v>0.20162468433652844</v>
      </c>
      <c r="I12">
        <v>0.25614981220065686</v>
      </c>
      <c r="J12">
        <v>0.26623477450055466</v>
      </c>
      <c r="K12">
        <v>-131.68869226423953</v>
      </c>
      <c r="L12">
        <v>0.4643567681959615</v>
      </c>
      <c r="M12">
        <v>0.23976660116601364</v>
      </c>
      <c r="N12">
        <v>0.1938075158786893</v>
      </c>
      <c r="O12">
        <v>0.74047957957508537</v>
      </c>
      <c r="P12">
        <v>-104.34826369842143</v>
      </c>
      <c r="Q12">
        <v>0.15633001511023834</v>
      </c>
      <c r="R12">
        <v>0.20215553537727668</v>
      </c>
      <c r="S12">
        <v>0.23758675928138526</v>
      </c>
      <c r="T12">
        <v>0.32029397863801312</v>
      </c>
      <c r="U12">
        <v>-125.92069814521415</v>
      </c>
    </row>
    <row r="13" spans="1:21" x14ac:dyDescent="0.55000000000000004">
      <c r="A13" s="2" t="s">
        <v>41</v>
      </c>
      <c r="B13">
        <v>0.10827803542862169</v>
      </c>
      <c r="C13">
        <v>0.20554338081103518</v>
      </c>
      <c r="D13">
        <v>0.22971115574861489</v>
      </c>
      <c r="E13">
        <v>0.10693016556541091</v>
      </c>
      <c r="F13">
        <v>-139.79701956701032</v>
      </c>
      <c r="G13">
        <v>-3.7740199114636809E-2</v>
      </c>
      <c r="H13">
        <v>0.23830091190294253</v>
      </c>
      <c r="I13">
        <v>0.17924603830161892</v>
      </c>
      <c r="J13">
        <v>0.37446814405300638</v>
      </c>
      <c r="K13">
        <v>-122.84564165556139</v>
      </c>
      <c r="L13">
        <v>0.1582324648693382</v>
      </c>
      <c r="M13">
        <v>0.17389266786695945</v>
      </c>
      <c r="N13">
        <v>-5.4433000868566355E-3</v>
      </c>
      <c r="O13">
        <v>0.36161901001923918</v>
      </c>
      <c r="P13">
        <v>-123.94052450131437</v>
      </c>
      <c r="Q13">
        <v>5.9861627499461591E-2</v>
      </c>
      <c r="R13">
        <v>0.21231625065898296</v>
      </c>
      <c r="S13">
        <v>0.1624942176027222</v>
      </c>
      <c r="T13">
        <v>0.26488312585121476</v>
      </c>
      <c r="U13">
        <v>-129.84516938929156</v>
      </c>
    </row>
    <row r="14" spans="1:21" x14ac:dyDescent="0.55000000000000004">
      <c r="A14" s="2" t="s">
        <v>42</v>
      </c>
      <c r="B14">
        <v>0.35072300555980912</v>
      </c>
      <c r="C14">
        <v>0.2071424901105734</v>
      </c>
      <c r="D14">
        <v>0.21689626674896711</v>
      </c>
      <c r="E14">
        <v>0.29869731716005887</v>
      </c>
      <c r="F14">
        <v>-119.46834367903455</v>
      </c>
      <c r="G14">
        <v>9.3222944080523229E-2</v>
      </c>
      <c r="H14">
        <v>0.70061291440873441</v>
      </c>
      <c r="I14">
        <v>0.59046666402649739</v>
      </c>
      <c r="J14">
        <v>0.2585109230447043</v>
      </c>
      <c r="K14">
        <v>-130.50810646991812</v>
      </c>
      <c r="L14">
        <v>0.73904140165442411</v>
      </c>
      <c r="M14">
        <v>0.17336230233940095</v>
      </c>
      <c r="N14">
        <v>0.13304156454316818</v>
      </c>
      <c r="O14">
        <v>0.5440261136438066</v>
      </c>
      <c r="P14">
        <v>-119.57009360625779</v>
      </c>
      <c r="Q14">
        <v>0.32538666018701778</v>
      </c>
      <c r="R14">
        <v>0.39777462227560334</v>
      </c>
      <c r="S14">
        <v>0.3495534852188194</v>
      </c>
      <c r="T14">
        <v>0.33168851881066658</v>
      </c>
      <c r="U14">
        <v>-123.90459878083263</v>
      </c>
    </row>
    <row r="15" spans="1:21" x14ac:dyDescent="0.55000000000000004">
      <c r="A15" s="2" t="s">
        <v>43</v>
      </c>
      <c r="B15">
        <v>0.16812795798168967</v>
      </c>
      <c r="C15">
        <v>0.24459193757173456</v>
      </c>
      <c r="D15">
        <v>0.26200507329206352</v>
      </c>
      <c r="E15">
        <v>7.7207520849832774E-3</v>
      </c>
      <c r="F15">
        <v>-153.22630526459696</v>
      </c>
      <c r="G15">
        <v>0.30301133463461932</v>
      </c>
      <c r="H15">
        <v>0.25974639677873917</v>
      </c>
      <c r="I15">
        <v>0.27279424861433688</v>
      </c>
      <c r="J15">
        <v>0.11216758739596348</v>
      </c>
      <c r="K15">
        <v>-117.59430028961388</v>
      </c>
      <c r="L15">
        <v>0.85673768769217729</v>
      </c>
      <c r="M15">
        <v>0.26798025281014048</v>
      </c>
      <c r="N15">
        <v>0.23293439666033736</v>
      </c>
      <c r="O15">
        <v>7.9539338253176162E-2</v>
      </c>
      <c r="P15">
        <v>-146.6589835024416</v>
      </c>
      <c r="Q15">
        <v>0.3598032545849591</v>
      </c>
      <c r="R15">
        <v>0.25533138430221758</v>
      </c>
      <c r="S15">
        <v>0.26050660809462761</v>
      </c>
      <c r="T15">
        <v>6.3863203443013938E-2</v>
      </c>
      <c r="U15">
        <v>-137.66003892217265</v>
      </c>
    </row>
    <row r="16" spans="1:21" x14ac:dyDescent="0.55000000000000004">
      <c r="A16" s="2" t="s">
        <v>45</v>
      </c>
      <c r="B16">
        <v>-5.689691781225914E-2</v>
      </c>
      <c r="C16">
        <v>-0.18576006370071285</v>
      </c>
      <c r="D16">
        <v>-0.23611446836703037</v>
      </c>
      <c r="E16">
        <v>-0.24612661386747892</v>
      </c>
      <c r="F16">
        <v>-155.40079230846041</v>
      </c>
      <c r="G16">
        <v>0.18645251676154087</v>
      </c>
      <c r="H16">
        <v>0.67089088796527518</v>
      </c>
      <c r="I16">
        <v>0.38353758904516494</v>
      </c>
      <c r="J16">
        <v>0.34361273725437275</v>
      </c>
      <c r="K16">
        <v>-143.23647931715576</v>
      </c>
      <c r="L16">
        <v>0.30178085395857757</v>
      </c>
      <c r="M16">
        <v>0.32770902973359917</v>
      </c>
      <c r="N16">
        <v>0.20046129350139363</v>
      </c>
      <c r="O16">
        <v>0.21967157490771663</v>
      </c>
      <c r="P16">
        <v>-138.22092540960034</v>
      </c>
      <c r="Q16">
        <v>0.12425521952740588</v>
      </c>
      <c r="R16">
        <v>0.29140514989206323</v>
      </c>
      <c r="S16">
        <v>0.1230026480671442</v>
      </c>
      <c r="T16">
        <v>0.10643271992228508</v>
      </c>
      <c r="U16">
        <v>-146.50611526243125</v>
      </c>
    </row>
    <row r="17" spans="1:21" x14ac:dyDescent="0.55000000000000004">
      <c r="A17" s="2" t="s">
        <v>46</v>
      </c>
      <c r="B17">
        <v>-16.736669323295263</v>
      </c>
      <c r="C17">
        <v>-16.768780868972467</v>
      </c>
      <c r="D17">
        <v>-16.913917421684086</v>
      </c>
      <c r="E17">
        <v>-16.972684866497655</v>
      </c>
      <c r="F17">
        <v>-785.16301579169306</v>
      </c>
      <c r="G17">
        <v>-0.13352729334892288</v>
      </c>
      <c r="H17">
        <v>0.26922405677081152</v>
      </c>
      <c r="I17">
        <v>0.31006960064571815</v>
      </c>
      <c r="J17">
        <v>0.27879106180043739</v>
      </c>
      <c r="K17">
        <v>-134.57059756706994</v>
      </c>
      <c r="L17">
        <v>-0.5093476191006826</v>
      </c>
      <c r="M17">
        <v>0.26708228581326932</v>
      </c>
      <c r="N17">
        <v>0.18075811654581683</v>
      </c>
      <c r="O17">
        <v>0.40842038414441834</v>
      </c>
      <c r="P17">
        <v>-124.7679066186726</v>
      </c>
      <c r="Q17">
        <v>-6.8499481704778118</v>
      </c>
      <c r="R17">
        <v>-6.5464062677180088</v>
      </c>
      <c r="S17">
        <v>-6.6053875051061821</v>
      </c>
      <c r="T17">
        <v>-6.5958734450500023</v>
      </c>
      <c r="U17">
        <v>-392.84702666723985</v>
      </c>
    </row>
    <row r="18" spans="1:21" x14ac:dyDescent="0.55000000000000004">
      <c r="A18" s="2" t="s">
        <v>80</v>
      </c>
      <c r="B18">
        <v>-0.68444986170361766</v>
      </c>
      <c r="C18">
        <v>2.2753128555176305</v>
      </c>
      <c r="D18">
        <v>2.6962252846015611</v>
      </c>
      <c r="E18">
        <v>2.5802391441158035</v>
      </c>
      <c r="F18">
        <v>14.128385455633573</v>
      </c>
      <c r="Q18">
        <v>-0.68444986170361766</v>
      </c>
      <c r="R18">
        <v>2.2753128555176305</v>
      </c>
      <c r="S18">
        <v>2.6962252846015611</v>
      </c>
      <c r="T18">
        <v>2.5802391441158035</v>
      </c>
      <c r="U18">
        <v>14.128385455633573</v>
      </c>
    </row>
    <row r="19" spans="1:21" x14ac:dyDescent="0.55000000000000004">
      <c r="A19" s="2" t="s">
        <v>55</v>
      </c>
      <c r="B19">
        <v>-1.2435423706938371</v>
      </c>
      <c r="C19">
        <v>-1.1782280631565665</v>
      </c>
      <c r="D19">
        <v>-1.1627814073296152</v>
      </c>
      <c r="E19">
        <v>-1.168710893989098</v>
      </c>
      <c r="F19">
        <v>-181.76734738553142</v>
      </c>
      <c r="G19">
        <v>0.11834591648544217</v>
      </c>
      <c r="H19">
        <v>0.31088538008594452</v>
      </c>
      <c r="I19">
        <v>0.28308066513423558</v>
      </c>
      <c r="J19">
        <v>0.28402772775394342</v>
      </c>
      <c r="K19">
        <v>-128.7635151476845</v>
      </c>
      <c r="L19">
        <v>0.29842677113467442</v>
      </c>
      <c r="M19">
        <v>0.22704155338714108</v>
      </c>
      <c r="N19">
        <v>0.12916842339259343</v>
      </c>
      <c r="O19">
        <v>0.36783840292842718</v>
      </c>
      <c r="P19">
        <v>306.97137210497954</v>
      </c>
      <c r="Q19">
        <v>-0.39901592481136994</v>
      </c>
      <c r="R19">
        <v>-0.3119086632734776</v>
      </c>
      <c r="S19">
        <v>-0.33637080334088515</v>
      </c>
      <c r="T19">
        <v>-0.28987055732638178</v>
      </c>
      <c r="U19">
        <v>-61.700351193046515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5"/>
  <sheetViews>
    <sheetView tabSelected="1" topLeftCell="A12" workbookViewId="0">
      <selection activeCell="R33" sqref="R33"/>
    </sheetView>
  </sheetViews>
  <sheetFormatPr defaultRowHeight="14.4" x14ac:dyDescent="0.55000000000000004"/>
  <cols>
    <col min="1" max="1" width="11.41796875" bestFit="1" customWidth="1"/>
    <col min="2" max="2" width="13.05078125" bestFit="1" customWidth="1"/>
    <col min="3" max="3" width="13.5234375" bestFit="1" customWidth="1"/>
  </cols>
  <sheetData>
    <row r="1" spans="1:17" ht="17.399999999999999" x14ac:dyDescent="0.55000000000000004">
      <c r="D1" s="93" t="s">
        <v>84</v>
      </c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3" spans="1:17" x14ac:dyDescent="0.55000000000000004">
      <c r="A3" s="94" t="s">
        <v>135</v>
      </c>
      <c r="B3" s="94"/>
      <c r="C3" s="94"/>
    </row>
    <row r="4" spans="1:17" x14ac:dyDescent="0.55000000000000004">
      <c r="A4" s="94"/>
      <c r="B4" s="94"/>
      <c r="C4" s="94"/>
    </row>
    <row r="5" spans="1:17" x14ac:dyDescent="0.55000000000000004">
      <c r="A5" s="62" t="s">
        <v>2</v>
      </c>
      <c r="B5" s="63" t="s">
        <v>136</v>
      </c>
      <c r="C5" s="63" t="s">
        <v>137</v>
      </c>
    </row>
    <row r="6" spans="1:17" x14ac:dyDescent="0.55000000000000004">
      <c r="A6" s="64" t="s">
        <v>95</v>
      </c>
      <c r="B6" s="61">
        <v>86692.515382787504</v>
      </c>
      <c r="C6" s="15">
        <f>(B7-B6)/B6%</f>
        <v>0.86385887276800444</v>
      </c>
    </row>
    <row r="7" spans="1:17" x14ac:dyDescent="0.55000000000000004">
      <c r="A7" s="64" t="s">
        <v>96</v>
      </c>
      <c r="B7" s="61">
        <v>87441.416368947481</v>
      </c>
      <c r="C7" s="15">
        <f t="shared" ref="C7:C17" si="0">(B8-B7)/B7%</f>
        <v>29.491115251428376</v>
      </c>
    </row>
    <row r="8" spans="1:17" x14ac:dyDescent="0.55000000000000004">
      <c r="A8" s="64" t="s">
        <v>97</v>
      </c>
      <c r="B8" s="61">
        <v>113228.86524779514</v>
      </c>
      <c r="C8" s="15">
        <f t="shared" si="0"/>
        <v>-44.087138483459569</v>
      </c>
    </row>
    <row r="9" spans="1:17" x14ac:dyDescent="0.55000000000000004">
      <c r="A9" s="64" t="s">
        <v>86</v>
      </c>
      <c r="B9" s="61">
        <v>63309.498622749867</v>
      </c>
      <c r="C9" s="15">
        <f t="shared" si="0"/>
        <v>-3.9632522697960861</v>
      </c>
    </row>
    <row r="10" spans="1:17" x14ac:dyDescent="0.55000000000000004">
      <c r="A10" s="64" t="s">
        <v>87</v>
      </c>
      <c r="B10" s="61">
        <v>60800.383481587211</v>
      </c>
      <c r="C10" s="15">
        <f t="shared" si="0"/>
        <v>0.44887137539968791</v>
      </c>
    </row>
    <row r="11" spans="1:17" x14ac:dyDescent="0.55000000000000004">
      <c r="A11" s="64" t="s">
        <v>88</v>
      </c>
      <c r="B11" s="61">
        <v>61073.298999169296</v>
      </c>
      <c r="C11" s="15">
        <f t="shared" si="0"/>
        <v>-2.6400220514262216</v>
      </c>
    </row>
    <row r="12" spans="1:17" x14ac:dyDescent="0.55000000000000004">
      <c r="A12" s="64" t="s">
        <v>89</v>
      </c>
      <c r="B12" s="61">
        <v>59460.950438057756</v>
      </c>
      <c r="C12" s="15">
        <f t="shared" si="0"/>
        <v>13.201452944740863</v>
      </c>
    </row>
    <row r="13" spans="1:17" x14ac:dyDescent="0.55000000000000004">
      <c r="A13" s="64" t="s">
        <v>90</v>
      </c>
      <c r="B13" s="61">
        <v>67310.659830633638</v>
      </c>
      <c r="C13" s="15">
        <f t="shared" si="0"/>
        <v>2.6730036049766088</v>
      </c>
    </row>
    <row r="14" spans="1:17" x14ac:dyDescent="0.55000000000000004">
      <c r="A14" s="64" t="s">
        <v>91</v>
      </c>
      <c r="B14" s="61">
        <v>69109.876194440018</v>
      </c>
      <c r="C14" s="15">
        <f t="shared" si="0"/>
        <v>4.2603472883318476</v>
      </c>
    </row>
    <row r="15" spans="1:17" x14ac:dyDescent="0.55000000000000004">
      <c r="A15" s="64" t="s">
        <v>92</v>
      </c>
      <c r="B15" s="61">
        <v>72054.19693085934</v>
      </c>
      <c r="C15" s="15">
        <f t="shared" si="0"/>
        <v>9.6527226180629295</v>
      </c>
    </row>
    <row r="16" spans="1:17" x14ac:dyDescent="0.55000000000000004">
      <c r="A16" s="64" t="s">
        <v>93</v>
      </c>
      <c r="B16" s="61">
        <v>79009.388695268004</v>
      </c>
      <c r="C16" s="15">
        <f t="shared" si="0"/>
        <v>3.4954745623671108</v>
      </c>
    </row>
    <row r="17" spans="1:3" x14ac:dyDescent="0.55000000000000004">
      <c r="A17" s="64" t="s">
        <v>94</v>
      </c>
      <c r="B17" s="61">
        <v>81771.141778992853</v>
      </c>
      <c r="C17" s="15">
        <f t="shared" si="0"/>
        <v>1002.176122764542</v>
      </c>
    </row>
    <row r="18" spans="1:3" x14ac:dyDescent="0.55000000000000004">
      <c r="A18" s="66" t="s">
        <v>138</v>
      </c>
      <c r="B18" s="65">
        <v>901262</v>
      </c>
      <c r="C18" s="67"/>
    </row>
    <row r="20" spans="1:3" x14ac:dyDescent="0.55000000000000004">
      <c r="A20" s="94" t="s">
        <v>139</v>
      </c>
      <c r="B20" s="94"/>
      <c r="C20" s="94"/>
    </row>
    <row r="21" spans="1:3" x14ac:dyDescent="0.55000000000000004">
      <c r="A21" s="94"/>
      <c r="B21" s="94"/>
      <c r="C21" s="94"/>
    </row>
    <row r="22" spans="1:3" x14ac:dyDescent="0.55000000000000004">
      <c r="A22" s="62" t="s">
        <v>2</v>
      </c>
      <c r="B22" s="63" t="s">
        <v>136</v>
      </c>
      <c r="C22" s="63" t="s">
        <v>137</v>
      </c>
    </row>
    <row r="23" spans="1:3" x14ac:dyDescent="0.55000000000000004">
      <c r="A23" s="64" t="s">
        <v>95</v>
      </c>
      <c r="B23" s="37">
        <v>92441.854830099124</v>
      </c>
      <c r="C23" s="15">
        <f>(B24-B23)/B23%</f>
        <v>-7.1867834338514847</v>
      </c>
    </row>
    <row r="24" spans="1:3" x14ac:dyDescent="0.55000000000000004">
      <c r="A24" s="64" t="s">
        <v>96</v>
      </c>
      <c r="B24" s="37">
        <v>85798.258921224522</v>
      </c>
      <c r="C24" s="15">
        <f t="shared" ref="C24:C34" si="1">(B25-B24)/B24%</f>
        <v>4.446733190770507</v>
      </c>
    </row>
    <row r="25" spans="1:3" x14ac:dyDescent="0.55000000000000004">
      <c r="A25" s="64" t="s">
        <v>97</v>
      </c>
      <c r="B25" s="37">
        <v>89613.478577777831</v>
      </c>
      <c r="C25" s="15">
        <f t="shared" si="1"/>
        <v>43.728452332939298</v>
      </c>
    </row>
    <row r="26" spans="1:3" x14ac:dyDescent="0.55000000000000004">
      <c r="A26" s="64" t="s">
        <v>86</v>
      </c>
      <c r="B26" s="37">
        <v>128800.06584155018</v>
      </c>
      <c r="C26" s="15">
        <f t="shared" si="1"/>
        <v>-7.1168007338488053</v>
      </c>
    </row>
    <row r="27" spans="1:3" x14ac:dyDescent="0.55000000000000004">
      <c r="A27" s="64" t="s">
        <v>87</v>
      </c>
      <c r="B27" s="37">
        <v>119633.62181054099</v>
      </c>
      <c r="C27" s="15">
        <f t="shared" si="1"/>
        <v>1.8924595400190221</v>
      </c>
    </row>
    <row r="28" spans="1:3" x14ac:dyDescent="0.55000000000000004">
      <c r="A28" s="64" t="s">
        <v>88</v>
      </c>
      <c r="B28" s="37">
        <v>121897.63969956485</v>
      </c>
      <c r="C28" s="15">
        <f t="shared" si="1"/>
        <v>5.6258884257037547</v>
      </c>
    </row>
    <row r="29" spans="1:3" x14ac:dyDescent="0.55000000000000004">
      <c r="A29" s="64" t="s">
        <v>89</v>
      </c>
      <c r="B29" s="37">
        <v>128755.46490262874</v>
      </c>
      <c r="C29" s="15">
        <f t="shared" si="1"/>
        <v>-18.786114266372987</v>
      </c>
    </row>
    <row r="30" spans="1:3" x14ac:dyDescent="0.55000000000000004">
      <c r="A30" s="64" t="s">
        <v>90</v>
      </c>
      <c r="B30" s="37">
        <v>104567.31614182114</v>
      </c>
      <c r="C30" s="15">
        <f t="shared" si="1"/>
        <v>-8.9985809751189478</v>
      </c>
    </row>
    <row r="31" spans="1:3" x14ac:dyDescent="0.55000000000000004">
      <c r="A31" s="64" t="s">
        <v>91</v>
      </c>
      <c r="B31" s="37">
        <v>95157.741525290738</v>
      </c>
      <c r="C31" s="15">
        <f t="shared" si="1"/>
        <v>4.2420552665956484</v>
      </c>
    </row>
    <row r="32" spans="1:3" x14ac:dyDescent="0.55000000000000004">
      <c r="A32" s="64" t="s">
        <v>92</v>
      </c>
      <c r="B32" s="37">
        <v>99194.385511237808</v>
      </c>
      <c r="C32" s="15">
        <f t="shared" si="1"/>
        <v>1.0730180621608105</v>
      </c>
    </row>
    <row r="33" spans="1:3" x14ac:dyDescent="0.55000000000000004">
      <c r="A33" s="64" t="s">
        <v>93</v>
      </c>
      <c r="B33" s="37">
        <v>100258.75918442282</v>
      </c>
      <c r="C33" s="15">
        <f t="shared" si="1"/>
        <v>-5.9900220516039413</v>
      </c>
    </row>
    <row r="34" spans="1:3" x14ac:dyDescent="0.55000000000000004">
      <c r="A34" s="64" t="s">
        <v>94</v>
      </c>
      <c r="B34" s="37">
        <v>94253.237400611397</v>
      </c>
      <c r="C34" s="15">
        <f t="shared" si="1"/>
        <v>1237.2186028897024</v>
      </c>
    </row>
    <row r="35" spans="1:3" x14ac:dyDescent="0.55000000000000004">
      <c r="A35" s="66" t="s">
        <v>138</v>
      </c>
      <c r="B35" s="68">
        <f>SUM(B23:B34)</f>
        <v>1260371.8243467703</v>
      </c>
      <c r="C35" s="67"/>
    </row>
  </sheetData>
  <mergeCells count="3">
    <mergeCell ref="D1:Q1"/>
    <mergeCell ref="A3:C4"/>
    <mergeCell ref="A20:C21"/>
  </mergeCells>
  <conditionalFormatting sqref="A6:A17">
    <cfRule type="colorScale" priority="5">
      <colorScale>
        <cfvo type="min"/>
        <cfvo type="max"/>
        <color rgb="FFFCFCFF"/>
        <color rgb="FF63BE7B"/>
      </colorScale>
    </cfRule>
  </conditionalFormatting>
  <conditionalFormatting sqref="A23:A34">
    <cfRule type="colorScale" priority="3">
      <colorScale>
        <cfvo type="min"/>
        <cfvo type="max"/>
        <color rgb="FFFCFCFF"/>
        <color rgb="FF63BE7B"/>
      </colorScale>
    </cfRule>
  </conditionalFormatting>
  <conditionalFormatting sqref="B6:B17">
    <cfRule type="colorScale" priority="4">
      <colorScale>
        <cfvo type="min"/>
        <cfvo type="max"/>
        <color rgb="FFFFEF9C"/>
        <color rgb="FF63BE7B"/>
      </colorScale>
    </cfRule>
  </conditionalFormatting>
  <conditionalFormatting sqref="B23:B3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FDE0-ABB4-46DC-A48F-EC216ABE856F}">
  <dimension ref="A1:AE57"/>
  <sheetViews>
    <sheetView topLeftCell="A14" zoomScale="61" zoomScaleNormal="85" workbookViewId="0">
      <selection activeCell="O57" sqref="O57"/>
    </sheetView>
  </sheetViews>
  <sheetFormatPr defaultRowHeight="14.4" x14ac:dyDescent="0.55000000000000004"/>
  <cols>
    <col min="1" max="1" width="10.7890625" bestFit="1" customWidth="1"/>
    <col min="2" max="2" width="9.3125" bestFit="1" customWidth="1"/>
    <col min="3" max="3" width="11.15625" bestFit="1" customWidth="1"/>
    <col min="4" max="4" width="18.9453125" bestFit="1" customWidth="1"/>
    <col min="5" max="5" width="22.26171875" bestFit="1" customWidth="1"/>
    <col min="6" max="6" width="16.5234375" bestFit="1" customWidth="1"/>
    <col min="7" max="7" width="8.68359375" bestFit="1" customWidth="1"/>
    <col min="8" max="8" width="19.9453125" bestFit="1" customWidth="1"/>
    <col min="9" max="9" width="15.41796875" bestFit="1" customWidth="1"/>
    <col min="10" max="10" width="10.20703125" bestFit="1" customWidth="1"/>
    <col min="11" max="11" width="14.41796875" bestFit="1" customWidth="1"/>
    <col min="12" max="12" width="21.3671875" bestFit="1" customWidth="1"/>
    <col min="13" max="13" width="25" bestFit="1" customWidth="1"/>
    <col min="14" max="14" width="10.62890625" bestFit="1" customWidth="1"/>
    <col min="15" max="15" width="24.9453125" bestFit="1" customWidth="1"/>
    <col min="16" max="16" width="33.7890625" bestFit="1" customWidth="1"/>
    <col min="17" max="17" width="21.47265625" bestFit="1" customWidth="1"/>
    <col min="18" max="18" width="28.15625" bestFit="1" customWidth="1"/>
    <col min="19" max="19" width="12.3125" bestFit="1" customWidth="1"/>
    <col min="20" max="20" width="13.26171875" bestFit="1" customWidth="1"/>
    <col min="21" max="21" width="23.26171875" bestFit="1" customWidth="1"/>
    <col min="22" max="22" width="12.1015625" bestFit="1" customWidth="1"/>
    <col min="23" max="23" width="16.26171875" bestFit="1" customWidth="1"/>
    <col min="24" max="24" width="29.26171875" bestFit="1" customWidth="1"/>
    <col min="25" max="25" width="10.9453125" bestFit="1" customWidth="1"/>
    <col min="26" max="26" width="29.47265625" bestFit="1" customWidth="1"/>
    <col min="27" max="27" width="27.41796875" bestFit="1" customWidth="1"/>
    <col min="28" max="28" width="13.5234375" bestFit="1" customWidth="1"/>
    <col min="29" max="29" width="25.3671875" bestFit="1" customWidth="1"/>
    <col min="30" max="30" width="16.89453125" bestFit="1" customWidth="1"/>
    <col min="31" max="31" width="16.578125" bestFit="1" customWidth="1"/>
  </cols>
  <sheetData>
    <row r="1" spans="1:31" x14ac:dyDescent="0.55000000000000004">
      <c r="A1" s="72" t="s">
        <v>0</v>
      </c>
      <c r="B1" s="72" t="s">
        <v>1</v>
      </c>
      <c r="C1" s="72" t="s">
        <v>2</v>
      </c>
      <c r="D1" s="72" t="s">
        <v>141</v>
      </c>
      <c r="E1" s="72" t="s">
        <v>3</v>
      </c>
      <c r="F1" s="72" t="s">
        <v>4</v>
      </c>
      <c r="G1" s="72" t="s">
        <v>5</v>
      </c>
      <c r="H1" s="72" t="s">
        <v>6</v>
      </c>
      <c r="I1" s="72" t="s">
        <v>7</v>
      </c>
      <c r="J1" s="72" t="s">
        <v>8</v>
      </c>
      <c r="K1" s="72" t="s">
        <v>9</v>
      </c>
      <c r="L1" s="72" t="s">
        <v>10</v>
      </c>
      <c r="M1" s="72" t="s">
        <v>11</v>
      </c>
      <c r="N1" s="72" t="s">
        <v>12</v>
      </c>
      <c r="O1" s="72" t="s">
        <v>13</v>
      </c>
      <c r="P1" s="72" t="s">
        <v>14</v>
      </c>
      <c r="Q1" s="72" t="s">
        <v>15</v>
      </c>
      <c r="R1" s="72" t="s">
        <v>16</v>
      </c>
      <c r="S1" s="72" t="s">
        <v>17</v>
      </c>
      <c r="T1" s="72" t="s">
        <v>18</v>
      </c>
      <c r="U1" s="72" t="s">
        <v>19</v>
      </c>
      <c r="V1" s="72" t="s">
        <v>20</v>
      </c>
      <c r="W1" s="72" t="s">
        <v>21</v>
      </c>
      <c r="X1" s="72" t="s">
        <v>22</v>
      </c>
      <c r="Y1" s="72" t="s">
        <v>23</v>
      </c>
      <c r="Z1" s="72" t="s">
        <v>24</v>
      </c>
      <c r="AA1" s="72" t="s">
        <v>25</v>
      </c>
      <c r="AB1" s="72" t="s">
        <v>26</v>
      </c>
      <c r="AC1" s="72" t="s">
        <v>27</v>
      </c>
      <c r="AD1" s="72" t="s">
        <v>28</v>
      </c>
      <c r="AE1" s="72" t="s">
        <v>29</v>
      </c>
    </row>
    <row r="2" spans="1:31" x14ac:dyDescent="0.55000000000000004">
      <c r="A2" s="19" t="s">
        <v>34</v>
      </c>
      <c r="B2" s="19">
        <v>2021</v>
      </c>
      <c r="C2" s="19" t="s">
        <v>31</v>
      </c>
      <c r="D2" s="61">
        <v>86692.515382787504</v>
      </c>
      <c r="E2" s="19">
        <v>144.9</v>
      </c>
      <c r="F2" s="19">
        <v>190.1</v>
      </c>
      <c r="G2" s="19">
        <v>175.3</v>
      </c>
      <c r="H2" s="19">
        <v>154.1</v>
      </c>
      <c r="I2" s="19">
        <v>150.9</v>
      </c>
      <c r="J2" s="19">
        <v>149.6</v>
      </c>
      <c r="K2" s="19">
        <v>194.2</v>
      </c>
      <c r="L2" s="19">
        <v>160.4</v>
      </c>
      <c r="M2" s="19">
        <v>114.6</v>
      </c>
      <c r="N2" s="19">
        <v>164</v>
      </c>
      <c r="O2" s="19">
        <v>151.80000000000001</v>
      </c>
      <c r="P2" s="19">
        <v>165.6</v>
      </c>
      <c r="Q2" s="19">
        <v>161</v>
      </c>
      <c r="R2" s="19">
        <v>186.5</v>
      </c>
      <c r="S2" s="19">
        <v>155.5</v>
      </c>
      <c r="T2" s="19">
        <v>146.1</v>
      </c>
      <c r="U2" s="19">
        <v>154.19999999999999</v>
      </c>
      <c r="V2" s="19">
        <v>157.69999999999999</v>
      </c>
      <c r="W2" s="19">
        <v>147.9</v>
      </c>
      <c r="X2" s="19">
        <v>150</v>
      </c>
      <c r="Y2" s="19">
        <v>159.30000000000001</v>
      </c>
      <c r="Z2" s="19">
        <v>141.9</v>
      </c>
      <c r="AA2" s="19">
        <v>149.6</v>
      </c>
      <c r="AB2" s="19">
        <v>159.19999999999999</v>
      </c>
      <c r="AC2" s="19">
        <v>156.80000000000001</v>
      </c>
      <c r="AD2" s="19">
        <v>151.9</v>
      </c>
      <c r="AE2" s="19">
        <v>157.30000000000001</v>
      </c>
    </row>
    <row r="3" spans="1:31" x14ac:dyDescent="0.55000000000000004">
      <c r="A3" s="19" t="s">
        <v>34</v>
      </c>
      <c r="B3" s="19">
        <v>2021</v>
      </c>
      <c r="C3" s="19" t="s">
        <v>35</v>
      </c>
      <c r="D3" s="61">
        <v>87441.416368947481</v>
      </c>
      <c r="E3" s="19">
        <v>144.30000000000001</v>
      </c>
      <c r="F3" s="19">
        <v>186.5</v>
      </c>
      <c r="G3" s="19">
        <v>168.7</v>
      </c>
      <c r="H3" s="19">
        <v>154.69999999999999</v>
      </c>
      <c r="I3" s="19">
        <v>158.69999999999999</v>
      </c>
      <c r="J3" s="19">
        <v>150.69999999999999</v>
      </c>
      <c r="K3" s="19">
        <v>160</v>
      </c>
      <c r="L3" s="19">
        <v>158.80000000000001</v>
      </c>
      <c r="M3" s="19">
        <v>112.8</v>
      </c>
      <c r="N3" s="19">
        <v>164.2</v>
      </c>
      <c r="O3" s="19">
        <v>155.5</v>
      </c>
      <c r="P3" s="19">
        <v>167.5</v>
      </c>
      <c r="Q3" s="19">
        <v>156.9</v>
      </c>
      <c r="R3" s="19">
        <v>188.3</v>
      </c>
      <c r="S3" s="19">
        <v>157.19999999999999</v>
      </c>
      <c r="T3" s="19">
        <v>147.4</v>
      </c>
      <c r="U3" s="19">
        <v>155.80000000000001</v>
      </c>
      <c r="V3" s="19">
        <v>159.80000000000001</v>
      </c>
      <c r="W3" s="19">
        <v>152.4</v>
      </c>
      <c r="X3" s="19">
        <v>150.9</v>
      </c>
      <c r="Y3" s="19">
        <v>161.30000000000001</v>
      </c>
      <c r="Z3" s="19">
        <v>145.1</v>
      </c>
      <c r="AA3" s="19">
        <v>151.5</v>
      </c>
      <c r="AB3" s="19">
        <v>159.5</v>
      </c>
      <c r="AC3" s="19">
        <v>155.80000000000001</v>
      </c>
      <c r="AD3" s="19">
        <v>153.4</v>
      </c>
      <c r="AE3" s="19">
        <v>156.6</v>
      </c>
    </row>
    <row r="4" spans="1:31" x14ac:dyDescent="0.55000000000000004">
      <c r="A4" s="19" t="s">
        <v>34</v>
      </c>
      <c r="B4" s="19">
        <v>2021</v>
      </c>
      <c r="C4" s="19" t="s">
        <v>36</v>
      </c>
      <c r="D4" s="61">
        <v>113228.86524779514</v>
      </c>
      <c r="E4" s="19">
        <v>144.1</v>
      </c>
      <c r="F4" s="19">
        <v>192.2</v>
      </c>
      <c r="G4" s="19">
        <v>163.80000000000001</v>
      </c>
      <c r="H4" s="19">
        <v>154.9</v>
      </c>
      <c r="I4" s="19">
        <v>163.9</v>
      </c>
      <c r="J4" s="19">
        <v>153.69999999999999</v>
      </c>
      <c r="K4" s="19">
        <v>149.5</v>
      </c>
      <c r="L4" s="19">
        <v>159.80000000000001</v>
      </c>
      <c r="M4" s="19">
        <v>112.6</v>
      </c>
      <c r="N4" s="19">
        <v>163.5</v>
      </c>
      <c r="O4" s="19">
        <v>156.5</v>
      </c>
      <c r="P4" s="19">
        <v>168.2</v>
      </c>
      <c r="Q4" s="19">
        <v>156.69999999999999</v>
      </c>
      <c r="R4" s="19">
        <v>188.1</v>
      </c>
      <c r="S4" s="19">
        <v>157.80000000000001</v>
      </c>
      <c r="T4" s="19">
        <v>147.9</v>
      </c>
      <c r="U4" s="19">
        <v>156.4</v>
      </c>
      <c r="V4" s="19">
        <v>159.9</v>
      </c>
      <c r="W4" s="19">
        <v>155.5</v>
      </c>
      <c r="X4" s="19">
        <v>151.19999999999999</v>
      </c>
      <c r="Y4" s="19">
        <v>161.69999999999999</v>
      </c>
      <c r="Z4" s="19">
        <v>146.19999999999999</v>
      </c>
      <c r="AA4" s="19">
        <v>152.6</v>
      </c>
      <c r="AB4" s="19">
        <v>160.19999999999999</v>
      </c>
      <c r="AC4" s="19">
        <v>153.80000000000001</v>
      </c>
      <c r="AD4" s="19">
        <v>153.80000000000001</v>
      </c>
      <c r="AE4" s="19">
        <v>156.80000000000001</v>
      </c>
    </row>
    <row r="5" spans="1:31" x14ac:dyDescent="0.55000000000000004">
      <c r="A5" s="19" t="s">
        <v>34</v>
      </c>
      <c r="B5" s="19">
        <v>2021</v>
      </c>
      <c r="C5" s="19" t="s">
        <v>37</v>
      </c>
      <c r="D5" s="61">
        <v>63309.498622749867</v>
      </c>
      <c r="E5" s="19">
        <v>144.30000000000001</v>
      </c>
      <c r="F5" s="19">
        <v>198</v>
      </c>
      <c r="G5" s="19">
        <v>164.6</v>
      </c>
      <c r="H5" s="19">
        <v>155.4</v>
      </c>
      <c r="I5" s="19">
        <v>170.1</v>
      </c>
      <c r="J5" s="19">
        <v>164.4</v>
      </c>
      <c r="K5" s="19">
        <v>144.1</v>
      </c>
      <c r="L5" s="19">
        <v>161.69999999999999</v>
      </c>
      <c r="M5" s="19">
        <v>113.1</v>
      </c>
      <c r="N5" s="19">
        <v>163.9</v>
      </c>
      <c r="O5" s="19">
        <v>157.6</v>
      </c>
      <c r="P5" s="19">
        <v>168.9</v>
      </c>
      <c r="Q5" s="19">
        <v>158</v>
      </c>
      <c r="R5" s="19">
        <v>188.8</v>
      </c>
      <c r="S5" s="19">
        <v>158.80000000000001</v>
      </c>
      <c r="T5" s="19">
        <v>148.5</v>
      </c>
      <c r="U5" s="19">
        <v>157.30000000000001</v>
      </c>
      <c r="V5" s="19">
        <v>161.4</v>
      </c>
      <c r="W5" s="19">
        <v>155.6</v>
      </c>
      <c r="X5" s="19">
        <v>151.80000000000001</v>
      </c>
      <c r="Y5" s="19">
        <v>162.30000000000001</v>
      </c>
      <c r="Z5" s="19">
        <v>146.6</v>
      </c>
      <c r="AA5" s="19">
        <v>153.19999999999999</v>
      </c>
      <c r="AB5" s="19">
        <v>160.30000000000001</v>
      </c>
      <c r="AC5" s="19">
        <v>155.4</v>
      </c>
      <c r="AD5" s="19">
        <v>154.4</v>
      </c>
      <c r="AE5" s="19">
        <v>157.80000000000001</v>
      </c>
    </row>
    <row r="6" spans="1:31" x14ac:dyDescent="0.55000000000000004">
      <c r="A6" s="19" t="s">
        <v>34</v>
      </c>
      <c r="B6" s="19">
        <v>2021</v>
      </c>
      <c r="C6" s="19" t="s">
        <v>38</v>
      </c>
      <c r="D6" s="61">
        <v>60800.383481587211</v>
      </c>
      <c r="E6" s="19">
        <v>146.30000000000001</v>
      </c>
      <c r="F6" s="19">
        <v>200.5</v>
      </c>
      <c r="G6" s="19">
        <v>170.3</v>
      </c>
      <c r="H6" s="19">
        <v>156.1</v>
      </c>
      <c r="I6" s="19">
        <v>178.7</v>
      </c>
      <c r="J6" s="19">
        <v>167.1</v>
      </c>
      <c r="K6" s="19">
        <v>147.9</v>
      </c>
      <c r="L6" s="19">
        <v>165.4</v>
      </c>
      <c r="M6" s="19">
        <v>114.8</v>
      </c>
      <c r="N6" s="19">
        <v>168.2</v>
      </c>
      <c r="O6" s="19">
        <v>159.30000000000001</v>
      </c>
      <c r="P6" s="19">
        <v>170.4</v>
      </c>
      <c r="Q6" s="19">
        <v>160.69999999999999</v>
      </c>
      <c r="R6" s="19">
        <v>191.9</v>
      </c>
      <c r="S6" s="19">
        <v>161.80000000000001</v>
      </c>
      <c r="T6" s="19">
        <v>152.1</v>
      </c>
      <c r="U6" s="19">
        <v>160.4</v>
      </c>
      <c r="V6" s="19">
        <v>161.6</v>
      </c>
      <c r="W6" s="19">
        <v>159.4</v>
      </c>
      <c r="X6" s="19">
        <v>154.69999999999999</v>
      </c>
      <c r="Y6" s="19">
        <v>165.8</v>
      </c>
      <c r="Z6" s="19">
        <v>148.9</v>
      </c>
      <c r="AA6" s="19">
        <v>155.80000000000001</v>
      </c>
      <c r="AB6" s="19">
        <v>161.19999999999999</v>
      </c>
      <c r="AC6" s="19">
        <v>158.6</v>
      </c>
      <c r="AD6" s="19">
        <v>156.80000000000001</v>
      </c>
      <c r="AE6" s="19">
        <v>160.4</v>
      </c>
    </row>
    <row r="7" spans="1:31" x14ac:dyDescent="0.55000000000000004">
      <c r="A7" s="19" t="s">
        <v>34</v>
      </c>
      <c r="B7" s="19">
        <v>2021</v>
      </c>
      <c r="C7" s="19" t="s">
        <v>39</v>
      </c>
      <c r="D7" s="61">
        <v>61073.298999169296</v>
      </c>
      <c r="E7" s="19">
        <v>146.69999999999999</v>
      </c>
      <c r="F7" s="19">
        <v>202</v>
      </c>
      <c r="G7" s="19">
        <v>180.7</v>
      </c>
      <c r="H7" s="19">
        <v>156.19999999999999</v>
      </c>
      <c r="I7" s="19">
        <v>183.7</v>
      </c>
      <c r="J7" s="19">
        <v>164.6</v>
      </c>
      <c r="K7" s="19">
        <v>155.4</v>
      </c>
      <c r="L7" s="19">
        <v>166</v>
      </c>
      <c r="M7" s="19">
        <v>115.1</v>
      </c>
      <c r="N7" s="19">
        <v>168.5</v>
      </c>
      <c r="O7" s="19">
        <v>160</v>
      </c>
      <c r="P7" s="19">
        <v>172.4</v>
      </c>
      <c r="Q7" s="19">
        <v>162.6</v>
      </c>
      <c r="R7" s="19">
        <v>190.8</v>
      </c>
      <c r="S7" s="19">
        <v>162.19999999999999</v>
      </c>
      <c r="T7" s="19">
        <v>151.80000000000001</v>
      </c>
      <c r="U7" s="19">
        <v>160.69999999999999</v>
      </c>
      <c r="V7" s="19">
        <v>160.5</v>
      </c>
      <c r="W7" s="19">
        <v>159.80000000000001</v>
      </c>
      <c r="X7" s="19">
        <v>154.80000000000001</v>
      </c>
      <c r="Y7" s="19">
        <v>166.3</v>
      </c>
      <c r="Z7" s="19">
        <v>150.69999999999999</v>
      </c>
      <c r="AA7" s="19">
        <v>154.9</v>
      </c>
      <c r="AB7" s="19">
        <v>161.69999999999999</v>
      </c>
      <c r="AC7" s="19">
        <v>158.80000000000001</v>
      </c>
      <c r="AD7" s="19">
        <v>157.6</v>
      </c>
      <c r="AE7" s="19">
        <v>161.30000000000001</v>
      </c>
    </row>
    <row r="8" spans="1:31" x14ac:dyDescent="0.55000000000000004">
      <c r="A8" s="19" t="s">
        <v>34</v>
      </c>
      <c r="B8" s="19">
        <v>2021</v>
      </c>
      <c r="C8" s="19" t="s">
        <v>40</v>
      </c>
      <c r="D8" s="61">
        <v>59460.950438057756</v>
      </c>
      <c r="E8" s="19">
        <v>146.4</v>
      </c>
      <c r="F8" s="19">
        <v>206.8</v>
      </c>
      <c r="G8" s="19">
        <v>182.2</v>
      </c>
      <c r="H8" s="19">
        <v>157.5</v>
      </c>
      <c r="I8" s="19">
        <v>182.1</v>
      </c>
      <c r="J8" s="19">
        <v>163.9</v>
      </c>
      <c r="K8" s="19">
        <v>164.2</v>
      </c>
      <c r="L8" s="19">
        <v>164</v>
      </c>
      <c r="M8" s="19">
        <v>114.5</v>
      </c>
      <c r="N8" s="19">
        <v>168.3</v>
      </c>
      <c r="O8" s="19">
        <v>160.9</v>
      </c>
      <c r="P8" s="19">
        <v>172.2</v>
      </c>
      <c r="Q8" s="19">
        <v>164</v>
      </c>
      <c r="R8" s="19">
        <v>191.2</v>
      </c>
      <c r="S8" s="19">
        <v>162.80000000000001</v>
      </c>
      <c r="T8" s="19">
        <v>153.1</v>
      </c>
      <c r="U8" s="19">
        <v>161.4</v>
      </c>
      <c r="V8" s="19">
        <v>161.5</v>
      </c>
      <c r="W8" s="19">
        <v>160.69999999999999</v>
      </c>
      <c r="X8" s="19">
        <v>155.80000000000001</v>
      </c>
      <c r="Y8" s="19">
        <v>167</v>
      </c>
      <c r="Z8" s="19">
        <v>153.1</v>
      </c>
      <c r="AA8" s="19">
        <v>155.30000000000001</v>
      </c>
      <c r="AB8" s="19">
        <v>163.19999999999999</v>
      </c>
      <c r="AC8" s="19">
        <v>160.1</v>
      </c>
      <c r="AD8" s="19">
        <v>159</v>
      </c>
      <c r="AE8" s="19">
        <v>162.5</v>
      </c>
    </row>
    <row r="9" spans="1:31" x14ac:dyDescent="0.55000000000000004">
      <c r="A9" s="19" t="s">
        <v>34</v>
      </c>
      <c r="B9" s="19">
        <v>2021</v>
      </c>
      <c r="C9" s="19" t="s">
        <v>41</v>
      </c>
      <c r="D9" s="61">
        <v>67310.659830633638</v>
      </c>
      <c r="E9" s="19">
        <v>146.6</v>
      </c>
      <c r="F9" s="19">
        <v>204</v>
      </c>
      <c r="G9" s="19">
        <v>172.8</v>
      </c>
      <c r="H9" s="19">
        <v>158.4</v>
      </c>
      <c r="I9" s="19">
        <v>188</v>
      </c>
      <c r="J9" s="19">
        <v>156.80000000000001</v>
      </c>
      <c r="K9" s="19">
        <v>162.19999999999999</v>
      </c>
      <c r="L9" s="19">
        <v>164.1</v>
      </c>
      <c r="M9" s="19">
        <v>119.7</v>
      </c>
      <c r="N9" s="19">
        <v>168.8</v>
      </c>
      <c r="O9" s="19">
        <v>162.69999999999999</v>
      </c>
      <c r="P9" s="19">
        <v>173.9</v>
      </c>
      <c r="Q9" s="19">
        <v>164</v>
      </c>
      <c r="R9" s="19">
        <v>192.1</v>
      </c>
      <c r="S9" s="19">
        <v>164.5</v>
      </c>
      <c r="T9" s="19">
        <v>155.30000000000001</v>
      </c>
      <c r="U9" s="19">
        <v>163.19999999999999</v>
      </c>
      <c r="V9" s="19">
        <v>162.1</v>
      </c>
      <c r="W9" s="19">
        <v>162.6</v>
      </c>
      <c r="X9" s="19">
        <v>157.5</v>
      </c>
      <c r="Y9" s="19">
        <v>168.4</v>
      </c>
      <c r="Z9" s="19">
        <v>154</v>
      </c>
      <c r="AA9" s="19">
        <v>157.6</v>
      </c>
      <c r="AB9" s="19">
        <v>163.80000000000001</v>
      </c>
      <c r="AC9" s="19">
        <v>160</v>
      </c>
      <c r="AD9" s="19">
        <v>160</v>
      </c>
      <c r="AE9" s="19">
        <v>163.19999999999999</v>
      </c>
    </row>
    <row r="10" spans="1:31" x14ac:dyDescent="0.55000000000000004">
      <c r="A10" s="19" t="s">
        <v>34</v>
      </c>
      <c r="B10" s="19">
        <v>2021</v>
      </c>
      <c r="C10" s="19" t="s">
        <v>42</v>
      </c>
      <c r="D10" s="61">
        <v>69109.876194440018</v>
      </c>
      <c r="E10" s="19">
        <v>146.6</v>
      </c>
      <c r="F10" s="19">
        <v>204</v>
      </c>
      <c r="G10" s="19">
        <v>172.8</v>
      </c>
      <c r="H10" s="19">
        <v>158.4</v>
      </c>
      <c r="I10" s="19">
        <v>188</v>
      </c>
      <c r="J10" s="19">
        <v>156.69999999999999</v>
      </c>
      <c r="K10" s="19">
        <v>162.30000000000001</v>
      </c>
      <c r="L10" s="19">
        <v>164.1</v>
      </c>
      <c r="M10" s="19">
        <v>119.7</v>
      </c>
      <c r="N10" s="19">
        <v>168.8</v>
      </c>
      <c r="O10" s="19">
        <v>162.69999999999999</v>
      </c>
      <c r="P10" s="19">
        <v>173.9</v>
      </c>
      <c r="Q10" s="19">
        <v>164</v>
      </c>
      <c r="R10" s="19">
        <v>192.1</v>
      </c>
      <c r="S10" s="19">
        <v>164.6</v>
      </c>
      <c r="T10" s="19">
        <v>155.30000000000001</v>
      </c>
      <c r="U10" s="19">
        <v>163.30000000000001</v>
      </c>
      <c r="V10" s="19">
        <v>162.1</v>
      </c>
      <c r="W10" s="19">
        <v>162.6</v>
      </c>
      <c r="X10" s="19">
        <v>157.5</v>
      </c>
      <c r="Y10" s="19">
        <v>168.4</v>
      </c>
      <c r="Z10" s="19">
        <v>154</v>
      </c>
      <c r="AA10" s="19">
        <v>157.69999999999999</v>
      </c>
      <c r="AB10" s="19">
        <v>163.69999999999999</v>
      </c>
      <c r="AC10" s="19">
        <v>160</v>
      </c>
      <c r="AD10" s="19">
        <v>160</v>
      </c>
      <c r="AE10" s="19">
        <v>163.19999999999999</v>
      </c>
    </row>
    <row r="11" spans="1:31" x14ac:dyDescent="0.55000000000000004">
      <c r="A11" s="19" t="s">
        <v>34</v>
      </c>
      <c r="B11" s="19">
        <v>2021</v>
      </c>
      <c r="C11" s="19" t="s">
        <v>43</v>
      </c>
      <c r="D11" s="61">
        <v>72054.19693085934</v>
      </c>
      <c r="E11" s="19">
        <v>147.4</v>
      </c>
      <c r="F11" s="19">
        <v>204.6</v>
      </c>
      <c r="G11" s="19">
        <v>171.2</v>
      </c>
      <c r="H11" s="19">
        <v>158.69999999999999</v>
      </c>
      <c r="I11" s="19">
        <v>190.6</v>
      </c>
      <c r="J11" s="19">
        <v>155.69999999999999</v>
      </c>
      <c r="K11" s="19">
        <v>185.3</v>
      </c>
      <c r="L11" s="19">
        <v>165.2</v>
      </c>
      <c r="M11" s="19">
        <v>121.9</v>
      </c>
      <c r="N11" s="19">
        <v>169.3</v>
      </c>
      <c r="O11" s="19">
        <v>163.19999999999999</v>
      </c>
      <c r="P11" s="19">
        <v>174.7</v>
      </c>
      <c r="Q11" s="19">
        <v>167.7</v>
      </c>
      <c r="R11" s="19">
        <v>192.7</v>
      </c>
      <c r="S11" s="19">
        <v>165.7</v>
      </c>
      <c r="T11" s="19">
        <v>156.30000000000001</v>
      </c>
      <c r="U11" s="19">
        <v>164.3</v>
      </c>
      <c r="V11" s="19">
        <v>163.6</v>
      </c>
      <c r="W11" s="19">
        <v>164.2</v>
      </c>
      <c r="X11" s="19">
        <v>158.4</v>
      </c>
      <c r="Y11" s="19">
        <v>169.1</v>
      </c>
      <c r="Z11" s="19">
        <v>155.69999999999999</v>
      </c>
      <c r="AA11" s="19">
        <v>158.6</v>
      </c>
      <c r="AB11" s="19">
        <v>163.9</v>
      </c>
      <c r="AC11" s="19">
        <v>160.80000000000001</v>
      </c>
      <c r="AD11" s="19">
        <v>161</v>
      </c>
      <c r="AE11" s="19">
        <v>165.5</v>
      </c>
    </row>
    <row r="12" spans="1:31" x14ac:dyDescent="0.55000000000000004">
      <c r="A12" s="19" t="s">
        <v>34</v>
      </c>
      <c r="B12" s="19">
        <v>2021</v>
      </c>
      <c r="C12" s="19" t="s">
        <v>45</v>
      </c>
      <c r="D12" s="61">
        <v>79009.388695268004</v>
      </c>
      <c r="E12" s="19">
        <v>148.19999999999999</v>
      </c>
      <c r="F12" s="19">
        <v>201.6</v>
      </c>
      <c r="G12" s="19">
        <v>173</v>
      </c>
      <c r="H12" s="19">
        <v>159.30000000000001</v>
      </c>
      <c r="I12" s="19">
        <v>190.1</v>
      </c>
      <c r="J12" s="19">
        <v>156.5</v>
      </c>
      <c r="K12" s="19">
        <v>199.2</v>
      </c>
      <c r="L12" s="19">
        <v>165.3</v>
      </c>
      <c r="M12" s="19">
        <v>122.4</v>
      </c>
      <c r="N12" s="19">
        <v>169.6</v>
      </c>
      <c r="O12" s="19">
        <v>163.69999999999999</v>
      </c>
      <c r="P12" s="19">
        <v>175.5</v>
      </c>
      <c r="Q12" s="19">
        <v>169.7</v>
      </c>
      <c r="R12" s="19">
        <v>192.9</v>
      </c>
      <c r="S12" s="19">
        <v>167.2</v>
      </c>
      <c r="T12" s="19">
        <v>157.4</v>
      </c>
      <c r="U12" s="19">
        <v>165.8</v>
      </c>
      <c r="V12" s="19">
        <v>164.2</v>
      </c>
      <c r="W12" s="19">
        <v>163.9</v>
      </c>
      <c r="X12" s="19">
        <v>159.30000000000001</v>
      </c>
      <c r="Y12" s="19">
        <v>169.9</v>
      </c>
      <c r="Z12" s="19">
        <v>154.80000000000001</v>
      </c>
      <c r="AA12" s="19">
        <v>159.80000000000001</v>
      </c>
      <c r="AB12" s="19">
        <v>164.3</v>
      </c>
      <c r="AC12" s="19">
        <v>162.19999999999999</v>
      </c>
      <c r="AD12" s="19">
        <v>161.4</v>
      </c>
      <c r="AE12" s="19">
        <v>166.7</v>
      </c>
    </row>
    <row r="13" spans="1:31" x14ac:dyDescent="0.55000000000000004">
      <c r="A13" s="19" t="s">
        <v>34</v>
      </c>
      <c r="B13" s="19">
        <v>2021</v>
      </c>
      <c r="C13" s="19" t="s">
        <v>46</v>
      </c>
      <c r="D13" s="61">
        <v>81771.141778992853</v>
      </c>
      <c r="E13" s="19">
        <v>148.69999999999999</v>
      </c>
      <c r="F13" s="19">
        <v>198.8</v>
      </c>
      <c r="G13" s="19">
        <v>177.9</v>
      </c>
      <c r="H13" s="19">
        <v>159.9</v>
      </c>
      <c r="I13" s="19">
        <v>187.6</v>
      </c>
      <c r="J13" s="19">
        <v>154.9</v>
      </c>
      <c r="K13" s="19">
        <v>188.3</v>
      </c>
      <c r="L13" s="19">
        <v>164.4</v>
      </c>
      <c r="M13" s="19">
        <v>121</v>
      </c>
      <c r="N13" s="19">
        <v>170.5</v>
      </c>
      <c r="O13" s="19">
        <v>164.2</v>
      </c>
      <c r="P13" s="19">
        <v>176.5</v>
      </c>
      <c r="Q13" s="19">
        <v>168.2</v>
      </c>
      <c r="R13" s="19">
        <v>192.4</v>
      </c>
      <c r="S13" s="19">
        <v>168.5</v>
      </c>
      <c r="T13" s="19">
        <v>158.69999999999999</v>
      </c>
      <c r="U13" s="19">
        <v>167</v>
      </c>
      <c r="V13" s="19">
        <v>163.4</v>
      </c>
      <c r="W13" s="19">
        <v>164.1</v>
      </c>
      <c r="X13" s="19">
        <v>160.19999999999999</v>
      </c>
      <c r="Y13" s="19">
        <v>170.6</v>
      </c>
      <c r="Z13" s="19">
        <v>155.69999999999999</v>
      </c>
      <c r="AA13" s="19">
        <v>160.6</v>
      </c>
      <c r="AB13" s="19">
        <v>164.4</v>
      </c>
      <c r="AC13" s="19">
        <v>162.6</v>
      </c>
      <c r="AD13" s="19">
        <v>162</v>
      </c>
      <c r="AE13" s="19">
        <v>166.2</v>
      </c>
    </row>
    <row r="14" spans="1:31" x14ac:dyDescent="0.55000000000000004">
      <c r="A14" s="19" t="s">
        <v>34</v>
      </c>
      <c r="B14" s="19">
        <v>2022</v>
      </c>
      <c r="C14" s="19" t="s">
        <v>31</v>
      </c>
      <c r="D14" s="61">
        <v>92441.854830099095</v>
      </c>
      <c r="E14" s="19">
        <v>149.5</v>
      </c>
      <c r="F14" s="19">
        <v>198.7</v>
      </c>
      <c r="G14" s="19">
        <v>178.8</v>
      </c>
      <c r="H14" s="19">
        <v>160.5</v>
      </c>
      <c r="I14" s="19">
        <v>184.7</v>
      </c>
      <c r="J14" s="19">
        <v>153.69999999999999</v>
      </c>
      <c r="K14" s="19">
        <v>174.3</v>
      </c>
      <c r="L14" s="19">
        <v>163.9</v>
      </c>
      <c r="M14" s="19">
        <v>120</v>
      </c>
      <c r="N14" s="19">
        <v>172.1</v>
      </c>
      <c r="O14" s="19">
        <v>164.3</v>
      </c>
      <c r="P14" s="19">
        <v>177.3</v>
      </c>
      <c r="Q14" s="19">
        <v>166.4</v>
      </c>
      <c r="R14" s="19">
        <v>192.2</v>
      </c>
      <c r="S14" s="19">
        <v>169.9</v>
      </c>
      <c r="T14" s="19">
        <v>160.69999999999999</v>
      </c>
      <c r="U14" s="19">
        <v>168.5</v>
      </c>
      <c r="V14" s="19">
        <v>164.5</v>
      </c>
      <c r="W14" s="19">
        <v>164.2</v>
      </c>
      <c r="X14" s="19">
        <v>161.1</v>
      </c>
      <c r="Y14" s="19">
        <v>171.4</v>
      </c>
      <c r="Z14" s="19">
        <v>156.5</v>
      </c>
      <c r="AA14" s="19">
        <v>161.19999999999999</v>
      </c>
      <c r="AB14" s="19">
        <v>164.7</v>
      </c>
      <c r="AC14" s="19">
        <v>163</v>
      </c>
      <c r="AD14" s="19">
        <v>162.69999999999999</v>
      </c>
      <c r="AE14" s="19">
        <v>165.7</v>
      </c>
    </row>
    <row r="15" spans="1:31" x14ac:dyDescent="0.55000000000000004">
      <c r="A15" s="19" t="s">
        <v>34</v>
      </c>
      <c r="B15" s="19">
        <v>2022</v>
      </c>
      <c r="C15" s="19" t="s">
        <v>35</v>
      </c>
      <c r="D15" s="61">
        <v>85798.258921224522</v>
      </c>
      <c r="E15" s="19">
        <v>150</v>
      </c>
      <c r="F15" s="19">
        <v>200.6</v>
      </c>
      <c r="G15" s="19">
        <v>175.8</v>
      </c>
      <c r="H15" s="19">
        <v>160.69999999999999</v>
      </c>
      <c r="I15" s="19">
        <v>184.9</v>
      </c>
      <c r="J15" s="19">
        <v>153.69999999999999</v>
      </c>
      <c r="K15" s="19">
        <v>169.7</v>
      </c>
      <c r="L15" s="19">
        <v>163.69999999999999</v>
      </c>
      <c r="M15" s="19">
        <v>118.9</v>
      </c>
      <c r="N15" s="19">
        <v>174.3</v>
      </c>
      <c r="O15" s="19">
        <v>164.7</v>
      </c>
      <c r="P15" s="19">
        <v>178</v>
      </c>
      <c r="Q15" s="19">
        <v>166.2</v>
      </c>
      <c r="R15" s="19">
        <v>192.8</v>
      </c>
      <c r="S15" s="19">
        <v>170.8</v>
      </c>
      <c r="T15" s="19">
        <v>162.4</v>
      </c>
      <c r="U15" s="19">
        <v>169.6</v>
      </c>
      <c r="V15" s="19">
        <v>165.5</v>
      </c>
      <c r="W15" s="19">
        <v>165.7</v>
      </c>
      <c r="X15" s="19">
        <v>161.80000000000001</v>
      </c>
      <c r="Y15" s="19">
        <v>172.2</v>
      </c>
      <c r="Z15" s="19">
        <v>156.9</v>
      </c>
      <c r="AA15" s="19">
        <v>162.1</v>
      </c>
      <c r="AB15" s="19">
        <v>165.4</v>
      </c>
      <c r="AC15" s="19">
        <v>164.4</v>
      </c>
      <c r="AD15" s="19">
        <v>163.5</v>
      </c>
      <c r="AE15" s="19">
        <v>166.1</v>
      </c>
    </row>
    <row r="16" spans="1:31" x14ac:dyDescent="0.55000000000000004">
      <c r="A16" s="19" t="s">
        <v>34</v>
      </c>
      <c r="B16" s="19">
        <v>2022</v>
      </c>
      <c r="C16" s="19" t="s">
        <v>36</v>
      </c>
      <c r="D16" s="61">
        <v>89613.478577777831</v>
      </c>
      <c r="E16" s="19">
        <v>151.30000000000001</v>
      </c>
      <c r="F16" s="19">
        <v>210.7</v>
      </c>
      <c r="G16" s="19">
        <v>167.8</v>
      </c>
      <c r="H16" s="19">
        <v>162.19999999999999</v>
      </c>
      <c r="I16" s="19">
        <v>194.6</v>
      </c>
      <c r="J16" s="19">
        <v>157.6</v>
      </c>
      <c r="K16" s="19">
        <v>166.9</v>
      </c>
      <c r="L16" s="19">
        <v>163.9</v>
      </c>
      <c r="M16" s="19">
        <v>118.8</v>
      </c>
      <c r="N16" s="19">
        <v>177.4</v>
      </c>
      <c r="O16" s="19">
        <v>165.3</v>
      </c>
      <c r="P16" s="19">
        <v>179.3</v>
      </c>
      <c r="Q16" s="19">
        <v>168.4</v>
      </c>
      <c r="R16" s="19">
        <v>193.7</v>
      </c>
      <c r="S16" s="19">
        <v>172.1</v>
      </c>
      <c r="T16" s="19">
        <v>164.6</v>
      </c>
      <c r="U16" s="19">
        <v>171.1</v>
      </c>
      <c r="V16" s="19">
        <v>165.3</v>
      </c>
      <c r="W16" s="19">
        <v>167.2</v>
      </c>
      <c r="X16" s="19">
        <v>162.80000000000001</v>
      </c>
      <c r="Y16" s="19">
        <v>173</v>
      </c>
      <c r="Z16" s="19">
        <v>157.9</v>
      </c>
      <c r="AA16" s="19">
        <v>163.30000000000001</v>
      </c>
      <c r="AB16" s="19">
        <v>166</v>
      </c>
      <c r="AC16" s="19">
        <v>167.2</v>
      </c>
      <c r="AD16" s="19">
        <v>164.6</v>
      </c>
      <c r="AE16" s="19">
        <v>167.7</v>
      </c>
    </row>
    <row r="17" spans="1:31" x14ac:dyDescent="0.55000000000000004">
      <c r="A17" s="19" t="s">
        <v>34</v>
      </c>
      <c r="B17" s="19">
        <v>2022</v>
      </c>
      <c r="C17" s="19" t="s">
        <v>37</v>
      </c>
      <c r="D17" s="61">
        <v>128800.06584155018</v>
      </c>
      <c r="E17" s="19">
        <v>152.9</v>
      </c>
      <c r="F17" s="19">
        <v>211.8</v>
      </c>
      <c r="G17" s="19">
        <v>164.5</v>
      </c>
      <c r="H17" s="19">
        <v>163.9</v>
      </c>
      <c r="I17" s="19">
        <v>199.5</v>
      </c>
      <c r="J17" s="19">
        <v>172.6</v>
      </c>
      <c r="K17" s="19">
        <v>166.2</v>
      </c>
      <c r="L17" s="19">
        <v>164.7</v>
      </c>
      <c r="M17" s="19">
        <v>119</v>
      </c>
      <c r="N17" s="19">
        <v>181.3</v>
      </c>
      <c r="O17" s="19">
        <v>166.2</v>
      </c>
      <c r="P17" s="19">
        <v>180.9</v>
      </c>
      <c r="Q17" s="19">
        <v>170.8</v>
      </c>
      <c r="R17" s="19">
        <v>193.9</v>
      </c>
      <c r="S17" s="19">
        <v>173.9</v>
      </c>
      <c r="T17" s="19">
        <v>166.5</v>
      </c>
      <c r="U17" s="19">
        <v>172.8</v>
      </c>
      <c r="V17" s="19">
        <v>167</v>
      </c>
      <c r="W17" s="19">
        <v>172.2</v>
      </c>
      <c r="X17" s="19">
        <v>164</v>
      </c>
      <c r="Y17" s="19">
        <v>174</v>
      </c>
      <c r="Z17" s="19">
        <v>162.6</v>
      </c>
      <c r="AA17" s="19">
        <v>164.4</v>
      </c>
      <c r="AB17" s="19">
        <v>166.9</v>
      </c>
      <c r="AC17" s="19">
        <v>168.8</v>
      </c>
      <c r="AD17" s="19">
        <v>166.8</v>
      </c>
      <c r="AE17" s="19">
        <v>170.1</v>
      </c>
    </row>
    <row r="18" spans="1:31" x14ac:dyDescent="0.55000000000000004">
      <c r="A18" s="19" t="s">
        <v>34</v>
      </c>
      <c r="B18" s="19">
        <v>2022</v>
      </c>
      <c r="C18" s="19" t="s">
        <v>38</v>
      </c>
      <c r="D18" s="61">
        <v>119633.62181054099</v>
      </c>
      <c r="E18" s="19">
        <v>154.1</v>
      </c>
      <c r="F18" s="19">
        <v>217</v>
      </c>
      <c r="G18" s="19">
        <v>162.4</v>
      </c>
      <c r="H18" s="19">
        <v>164.9</v>
      </c>
      <c r="I18" s="19">
        <v>202.4</v>
      </c>
      <c r="J18" s="19">
        <v>171</v>
      </c>
      <c r="K18" s="19">
        <v>174.9</v>
      </c>
      <c r="L18" s="19">
        <v>164.7</v>
      </c>
      <c r="M18" s="19">
        <v>119.7</v>
      </c>
      <c r="N18" s="19">
        <v>184.9</v>
      </c>
      <c r="O18" s="19">
        <v>167.1</v>
      </c>
      <c r="P18" s="19">
        <v>182.5</v>
      </c>
      <c r="Q18" s="19">
        <v>173.3</v>
      </c>
      <c r="R18" s="19">
        <v>194.1</v>
      </c>
      <c r="S18" s="19">
        <v>175.6</v>
      </c>
      <c r="T18" s="19">
        <v>168.4</v>
      </c>
      <c r="U18" s="19">
        <v>174.6</v>
      </c>
      <c r="V18" s="19">
        <v>167.5</v>
      </c>
      <c r="W18" s="19">
        <v>174.6</v>
      </c>
      <c r="X18" s="19">
        <v>165.2</v>
      </c>
      <c r="Y18" s="19">
        <v>174.8</v>
      </c>
      <c r="Z18" s="19">
        <v>163</v>
      </c>
      <c r="AA18" s="19">
        <v>165.1</v>
      </c>
      <c r="AB18" s="19">
        <v>167.9</v>
      </c>
      <c r="AC18" s="19">
        <v>168.4</v>
      </c>
      <c r="AD18" s="19">
        <v>167.5</v>
      </c>
      <c r="AE18" s="19">
        <v>171.7</v>
      </c>
    </row>
    <row r="19" spans="1:31" x14ac:dyDescent="0.55000000000000004">
      <c r="A19" s="19" t="s">
        <v>34</v>
      </c>
      <c r="B19" s="19">
        <v>2022</v>
      </c>
      <c r="C19" s="19" t="s">
        <v>39</v>
      </c>
      <c r="D19" s="61">
        <v>121897.63969956485</v>
      </c>
      <c r="E19" s="19">
        <v>155</v>
      </c>
      <c r="F19" s="19">
        <v>219.4</v>
      </c>
      <c r="G19" s="19">
        <v>170.8</v>
      </c>
      <c r="H19" s="19">
        <v>165.8</v>
      </c>
      <c r="I19" s="19">
        <v>200.9</v>
      </c>
      <c r="J19" s="19">
        <v>169.7</v>
      </c>
      <c r="K19" s="19">
        <v>182.3</v>
      </c>
      <c r="L19" s="19">
        <v>164.3</v>
      </c>
      <c r="M19" s="19">
        <v>119.9</v>
      </c>
      <c r="N19" s="19">
        <v>187.1</v>
      </c>
      <c r="O19" s="19">
        <v>167.9</v>
      </c>
      <c r="P19" s="19">
        <v>183.9</v>
      </c>
      <c r="Q19" s="19">
        <v>174.9</v>
      </c>
      <c r="R19" s="19">
        <v>194.3</v>
      </c>
      <c r="S19" s="19">
        <v>177.1</v>
      </c>
      <c r="T19" s="19">
        <v>169.9</v>
      </c>
      <c r="U19" s="19">
        <v>176</v>
      </c>
      <c r="V19" s="19">
        <v>166.8</v>
      </c>
      <c r="W19" s="19">
        <v>176</v>
      </c>
      <c r="X19" s="19">
        <v>166.4</v>
      </c>
      <c r="Y19" s="19">
        <v>175.4</v>
      </c>
      <c r="Z19" s="19">
        <v>161.1</v>
      </c>
      <c r="AA19" s="19">
        <v>165.8</v>
      </c>
      <c r="AB19" s="19">
        <v>169</v>
      </c>
      <c r="AC19" s="19">
        <v>169.4</v>
      </c>
      <c r="AD19" s="19">
        <v>167.5</v>
      </c>
      <c r="AE19" s="19">
        <v>172.6</v>
      </c>
    </row>
    <row r="20" spans="1:31" x14ac:dyDescent="0.55000000000000004">
      <c r="A20" s="19" t="s">
        <v>34</v>
      </c>
      <c r="B20" s="19">
        <v>2022</v>
      </c>
      <c r="C20" s="19" t="s">
        <v>40</v>
      </c>
      <c r="D20" s="61">
        <v>128755.46490262874</v>
      </c>
      <c r="E20" s="19">
        <v>156.5</v>
      </c>
      <c r="F20" s="19">
        <v>213</v>
      </c>
      <c r="G20" s="19">
        <v>175.2</v>
      </c>
      <c r="H20" s="19">
        <v>166.6</v>
      </c>
      <c r="I20" s="19">
        <v>195.8</v>
      </c>
      <c r="J20" s="19">
        <v>174.2</v>
      </c>
      <c r="K20" s="19">
        <v>182.1</v>
      </c>
      <c r="L20" s="19">
        <v>164.3</v>
      </c>
      <c r="M20" s="19">
        <v>120</v>
      </c>
      <c r="N20" s="19">
        <v>190</v>
      </c>
      <c r="O20" s="19">
        <v>168.4</v>
      </c>
      <c r="P20" s="19">
        <v>185.2</v>
      </c>
      <c r="Q20" s="19">
        <v>175</v>
      </c>
      <c r="R20" s="19">
        <v>194.6</v>
      </c>
      <c r="S20" s="19">
        <v>178.3</v>
      </c>
      <c r="T20" s="19">
        <v>171.3</v>
      </c>
      <c r="U20" s="19">
        <v>177.3</v>
      </c>
      <c r="V20" s="19">
        <v>167.8</v>
      </c>
      <c r="W20" s="19">
        <v>179.6</v>
      </c>
      <c r="X20" s="19">
        <v>167.4</v>
      </c>
      <c r="Y20" s="19">
        <v>176.1</v>
      </c>
      <c r="Z20" s="19">
        <v>161.6</v>
      </c>
      <c r="AA20" s="19">
        <v>166.3</v>
      </c>
      <c r="AB20" s="19">
        <v>171.4</v>
      </c>
      <c r="AC20" s="19">
        <v>169.7</v>
      </c>
      <c r="AD20" s="19">
        <v>168.4</v>
      </c>
      <c r="AE20" s="19">
        <v>173.4</v>
      </c>
    </row>
    <row r="21" spans="1:31" x14ac:dyDescent="0.55000000000000004">
      <c r="A21" s="19" t="s">
        <v>34</v>
      </c>
      <c r="B21" s="19">
        <v>2022</v>
      </c>
      <c r="C21" s="19" t="s">
        <v>41</v>
      </c>
      <c r="D21" s="61">
        <v>104567.31614182114</v>
      </c>
      <c r="E21" s="19">
        <v>160.30000000000001</v>
      </c>
      <c r="F21" s="19">
        <v>206.5</v>
      </c>
      <c r="G21" s="19">
        <v>169.2</v>
      </c>
      <c r="H21" s="19">
        <v>168.1</v>
      </c>
      <c r="I21" s="19">
        <v>192.4</v>
      </c>
      <c r="J21" s="19">
        <v>172.9</v>
      </c>
      <c r="K21" s="19">
        <v>186.7</v>
      </c>
      <c r="L21" s="19">
        <v>167.2</v>
      </c>
      <c r="M21" s="19">
        <v>120.9</v>
      </c>
      <c r="N21" s="19">
        <v>193.6</v>
      </c>
      <c r="O21" s="19">
        <v>168.8</v>
      </c>
      <c r="P21" s="19">
        <v>186.3</v>
      </c>
      <c r="Q21" s="19">
        <v>176.3</v>
      </c>
      <c r="R21" s="19">
        <v>195</v>
      </c>
      <c r="S21" s="19">
        <v>179.5</v>
      </c>
      <c r="T21" s="19">
        <v>172.7</v>
      </c>
      <c r="U21" s="19">
        <v>178.5</v>
      </c>
      <c r="V21" s="19">
        <v>169</v>
      </c>
      <c r="W21" s="19">
        <v>178.8</v>
      </c>
      <c r="X21" s="19">
        <v>168.5</v>
      </c>
      <c r="Y21" s="19">
        <v>176.8</v>
      </c>
      <c r="Z21" s="19">
        <v>161.9</v>
      </c>
      <c r="AA21" s="19">
        <v>166.9</v>
      </c>
      <c r="AB21" s="19">
        <v>172.3</v>
      </c>
      <c r="AC21" s="19">
        <v>171.2</v>
      </c>
      <c r="AD21" s="19">
        <v>169.1</v>
      </c>
      <c r="AE21" s="19">
        <v>174.3</v>
      </c>
    </row>
    <row r="22" spans="1:31" x14ac:dyDescent="0.55000000000000004">
      <c r="A22" s="19" t="s">
        <v>34</v>
      </c>
      <c r="B22" s="19">
        <v>2022</v>
      </c>
      <c r="C22" s="19" t="s">
        <v>42</v>
      </c>
      <c r="D22" s="61">
        <v>95157.741525290738</v>
      </c>
      <c r="E22" s="19">
        <v>163.5</v>
      </c>
      <c r="F22" s="19">
        <v>209.2</v>
      </c>
      <c r="G22" s="19">
        <v>169.7</v>
      </c>
      <c r="H22" s="19">
        <v>169.7</v>
      </c>
      <c r="I22" s="19">
        <v>188.7</v>
      </c>
      <c r="J22" s="19">
        <v>165.7</v>
      </c>
      <c r="K22" s="19">
        <v>191.8</v>
      </c>
      <c r="L22" s="19">
        <v>169.1</v>
      </c>
      <c r="M22" s="19">
        <v>121.6</v>
      </c>
      <c r="N22" s="19">
        <v>197.3</v>
      </c>
      <c r="O22" s="19">
        <v>169.4</v>
      </c>
      <c r="P22" s="19">
        <v>187.4</v>
      </c>
      <c r="Q22" s="19">
        <v>177.8</v>
      </c>
      <c r="R22" s="19">
        <v>195.9</v>
      </c>
      <c r="S22" s="19">
        <v>180.9</v>
      </c>
      <c r="T22" s="19">
        <v>174.3</v>
      </c>
      <c r="U22" s="19">
        <v>179.9</v>
      </c>
      <c r="V22" s="19">
        <v>169.5</v>
      </c>
      <c r="W22" s="19">
        <v>179.5</v>
      </c>
      <c r="X22" s="19">
        <v>169.5</v>
      </c>
      <c r="Y22" s="19">
        <v>177.8</v>
      </c>
      <c r="Z22" s="19">
        <v>162.30000000000001</v>
      </c>
      <c r="AA22" s="19">
        <v>167.6</v>
      </c>
      <c r="AB22" s="19">
        <v>173.1</v>
      </c>
      <c r="AC22" s="19">
        <v>170.9</v>
      </c>
      <c r="AD22" s="19">
        <v>169.7</v>
      </c>
      <c r="AE22" s="19">
        <v>175.3</v>
      </c>
    </row>
    <row r="23" spans="1:31" x14ac:dyDescent="0.55000000000000004">
      <c r="A23" s="19" t="s">
        <v>34</v>
      </c>
      <c r="B23" s="19">
        <v>2022</v>
      </c>
      <c r="C23" s="19" t="s">
        <v>43</v>
      </c>
      <c r="D23" s="61">
        <v>99194.385511237808</v>
      </c>
      <c r="E23" s="19">
        <v>165.2</v>
      </c>
      <c r="F23" s="19">
        <v>210.9</v>
      </c>
      <c r="G23" s="19">
        <v>170.9</v>
      </c>
      <c r="H23" s="19">
        <v>170.9</v>
      </c>
      <c r="I23" s="19">
        <v>186.5</v>
      </c>
      <c r="J23" s="19">
        <v>163.80000000000001</v>
      </c>
      <c r="K23" s="19">
        <v>199.7</v>
      </c>
      <c r="L23" s="19">
        <v>169.8</v>
      </c>
      <c r="M23" s="19">
        <v>121.9</v>
      </c>
      <c r="N23" s="19">
        <v>199.9</v>
      </c>
      <c r="O23" s="19">
        <v>169.9</v>
      </c>
      <c r="P23" s="19">
        <v>188.3</v>
      </c>
      <c r="Q23" s="19">
        <v>179.6</v>
      </c>
      <c r="R23" s="19">
        <v>196.3</v>
      </c>
      <c r="S23" s="19">
        <v>181.9</v>
      </c>
      <c r="T23" s="19">
        <v>175.3</v>
      </c>
      <c r="U23" s="19">
        <v>181</v>
      </c>
      <c r="V23" s="19">
        <v>171.2</v>
      </c>
      <c r="W23" s="19">
        <v>180.5</v>
      </c>
      <c r="X23" s="19">
        <v>170.4</v>
      </c>
      <c r="Y23" s="19">
        <v>178.7</v>
      </c>
      <c r="Z23" s="19">
        <v>162.9</v>
      </c>
      <c r="AA23" s="19">
        <v>168.2</v>
      </c>
      <c r="AB23" s="19">
        <v>173.4</v>
      </c>
      <c r="AC23" s="19">
        <v>172.1</v>
      </c>
      <c r="AD23" s="19">
        <v>170.5</v>
      </c>
      <c r="AE23" s="19">
        <v>176.7</v>
      </c>
    </row>
    <row r="24" spans="1:31" x14ac:dyDescent="0.55000000000000004">
      <c r="A24" s="19" t="s">
        <v>34</v>
      </c>
      <c r="B24" s="19">
        <v>2022</v>
      </c>
      <c r="C24" s="19" t="s">
        <v>45</v>
      </c>
      <c r="D24" s="61">
        <v>100258.75918442282</v>
      </c>
      <c r="E24" s="19">
        <v>167.4</v>
      </c>
      <c r="F24" s="19">
        <v>209.4</v>
      </c>
      <c r="G24" s="19">
        <v>181.4</v>
      </c>
      <c r="H24" s="19">
        <v>172.3</v>
      </c>
      <c r="I24" s="19">
        <v>188.9</v>
      </c>
      <c r="J24" s="19">
        <v>160.69999999999999</v>
      </c>
      <c r="K24" s="19">
        <v>183.1</v>
      </c>
      <c r="L24" s="19">
        <v>170.5</v>
      </c>
      <c r="M24" s="19">
        <v>122.1</v>
      </c>
      <c r="N24" s="19">
        <v>202.8</v>
      </c>
      <c r="O24" s="19">
        <v>170.4</v>
      </c>
      <c r="P24" s="19">
        <v>189.5</v>
      </c>
      <c r="Q24" s="19">
        <v>178.3</v>
      </c>
      <c r="R24" s="19">
        <v>196.9</v>
      </c>
      <c r="S24" s="19">
        <v>183.1</v>
      </c>
      <c r="T24" s="19">
        <v>176.2</v>
      </c>
      <c r="U24" s="19">
        <v>182.1</v>
      </c>
      <c r="V24" s="19">
        <v>171.8</v>
      </c>
      <c r="W24" s="19">
        <v>181.3</v>
      </c>
      <c r="X24" s="19">
        <v>171.4</v>
      </c>
      <c r="Y24" s="19">
        <v>179.8</v>
      </c>
      <c r="Z24" s="19">
        <v>163</v>
      </c>
      <c r="AA24" s="19">
        <v>168.5</v>
      </c>
      <c r="AB24" s="19">
        <v>173.7</v>
      </c>
      <c r="AC24" s="19">
        <v>173.6</v>
      </c>
      <c r="AD24" s="19">
        <v>171.1</v>
      </c>
      <c r="AE24" s="19">
        <v>176.5</v>
      </c>
    </row>
    <row r="25" spans="1:31" x14ac:dyDescent="0.55000000000000004">
      <c r="A25" s="19" t="s">
        <v>34</v>
      </c>
      <c r="B25" s="19">
        <v>2022</v>
      </c>
      <c r="C25" s="19" t="s">
        <v>46</v>
      </c>
      <c r="D25" s="61">
        <v>94253.237400611397</v>
      </c>
      <c r="E25" s="19">
        <v>169.2</v>
      </c>
      <c r="F25" s="19">
        <v>209</v>
      </c>
      <c r="G25" s="19">
        <v>190.2</v>
      </c>
      <c r="H25" s="19">
        <v>173.6</v>
      </c>
      <c r="I25" s="19">
        <v>188.5</v>
      </c>
      <c r="J25" s="19">
        <v>158</v>
      </c>
      <c r="K25" s="19">
        <v>159.9</v>
      </c>
      <c r="L25" s="19">
        <v>170.8</v>
      </c>
      <c r="M25" s="19">
        <v>121.8</v>
      </c>
      <c r="N25" s="19">
        <v>205.2</v>
      </c>
      <c r="O25" s="19">
        <v>171</v>
      </c>
      <c r="P25" s="19">
        <v>190.3</v>
      </c>
      <c r="Q25" s="19">
        <v>175.9</v>
      </c>
      <c r="R25" s="19">
        <v>197.3</v>
      </c>
      <c r="S25" s="19">
        <v>184</v>
      </c>
      <c r="T25" s="19">
        <v>177</v>
      </c>
      <c r="U25" s="19">
        <v>183</v>
      </c>
      <c r="V25" s="19">
        <v>170.7</v>
      </c>
      <c r="W25" s="19">
        <v>182</v>
      </c>
      <c r="X25" s="19">
        <v>172.1</v>
      </c>
      <c r="Y25" s="19">
        <v>181.1</v>
      </c>
      <c r="Z25" s="19">
        <v>163.4</v>
      </c>
      <c r="AA25" s="19">
        <v>168.9</v>
      </c>
      <c r="AB25" s="19">
        <v>174.1</v>
      </c>
      <c r="AC25" s="19">
        <v>175.8</v>
      </c>
      <c r="AD25" s="19">
        <v>172</v>
      </c>
      <c r="AE25" s="19">
        <v>175.7</v>
      </c>
    </row>
    <row r="26" spans="1:31" x14ac:dyDescent="0.55000000000000004">
      <c r="A26" s="95" t="s">
        <v>140</v>
      </c>
      <c r="B26" s="95"/>
      <c r="C26" s="95"/>
      <c r="D26" s="96">
        <f>SUM(D2:D25)</f>
        <v>2161634.0163180586</v>
      </c>
      <c r="E26" s="97">
        <f>CORREL($D$2:$D$25,E2:E25)</f>
        <v>0.47930708820975265</v>
      </c>
      <c r="F26" s="97">
        <f t="shared" ref="F26:AE26" si="0">CORREL($D$2:$D$25,F2:F25)</f>
        <v>0.4591095308851178</v>
      </c>
      <c r="G26" s="97">
        <f t="shared" si="0"/>
        <v>-0.2928475914715451</v>
      </c>
      <c r="H26" s="97">
        <f t="shared" si="0"/>
        <v>0.54942393038556137</v>
      </c>
      <c r="I26" s="97">
        <f t="shared" si="0"/>
        <v>0.36134469567570388</v>
      </c>
      <c r="J26" s="97">
        <f t="shared" si="0"/>
        <v>0.42634626895374322</v>
      </c>
      <c r="K26" s="97">
        <f t="shared" si="0"/>
        <v>0.31893121139110603</v>
      </c>
      <c r="L26" s="97">
        <f t="shared" si="0"/>
        <v>9.051979053549053E-2</v>
      </c>
      <c r="M26" s="97">
        <f t="shared" si="0"/>
        <v>0.29385507045350723</v>
      </c>
      <c r="N26" s="97">
        <f t="shared" si="0"/>
        <v>0.54570895524918406</v>
      </c>
      <c r="O26" s="97">
        <f t="shared" si="0"/>
        <v>0.47246601432401808</v>
      </c>
      <c r="P26" s="97">
        <f t="shared" si="0"/>
        <v>0.55738783771374678</v>
      </c>
      <c r="Q26" s="97">
        <f t="shared" si="0"/>
        <v>0.53913494180057453</v>
      </c>
      <c r="R26" s="97">
        <f t="shared" si="0"/>
        <v>0.38613167243390628</v>
      </c>
      <c r="S26" s="97">
        <f t="shared" si="0"/>
        <v>0.56799275250452141</v>
      </c>
      <c r="T26" s="97">
        <f t="shared" si="0"/>
        <v>0.59156568557755351</v>
      </c>
      <c r="U26" s="97">
        <f t="shared" si="0"/>
        <v>0.572023388191092</v>
      </c>
      <c r="V26" s="97">
        <f t="shared" si="0"/>
        <v>0.54595342729634067</v>
      </c>
      <c r="W26" s="97">
        <f t="shared" si="0"/>
        <v>0.57074724127368115</v>
      </c>
      <c r="X26" s="97">
        <f t="shared" si="0"/>
        <v>0.54847299975486197</v>
      </c>
      <c r="Y26" s="97">
        <f t="shared" si="0"/>
        <v>0.50373424124967625</v>
      </c>
      <c r="Z26" s="97">
        <f t="shared" si="0"/>
        <v>0.5496545139665161</v>
      </c>
      <c r="AA26" s="97">
        <f t="shared" si="0"/>
        <v>0.57239965687264893</v>
      </c>
      <c r="AB26" s="97">
        <f t="shared" si="0"/>
        <v>0.53246861692706804</v>
      </c>
      <c r="AC26" s="97">
        <f t="shared" si="0"/>
        <v>0.56927228743230018</v>
      </c>
      <c r="AD26" s="97">
        <f t="shared" si="0"/>
        <v>0.5532433198637331</v>
      </c>
      <c r="AE26" s="97">
        <f t="shared" si="0"/>
        <v>0.55499996239136706</v>
      </c>
    </row>
    <row r="27" spans="1:31" x14ac:dyDescent="0.55000000000000004">
      <c r="A27" s="95"/>
      <c r="B27" s="95"/>
      <c r="C27" s="95"/>
      <c r="D27" s="96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</row>
    <row r="30" spans="1:31" ht="43.2" customHeight="1" x14ac:dyDescent="0.55000000000000004">
      <c r="A30" s="98" t="s">
        <v>142</v>
      </c>
      <c r="B30" s="98"/>
    </row>
    <row r="31" spans="1:31" x14ac:dyDescent="0.55000000000000004">
      <c r="A31" s="71" t="s">
        <v>3</v>
      </c>
      <c r="B31" s="1">
        <v>0.48</v>
      </c>
    </row>
    <row r="32" spans="1:31" x14ac:dyDescent="0.55000000000000004">
      <c r="A32" s="71" t="s">
        <v>4</v>
      </c>
      <c r="B32" s="1">
        <v>0.46</v>
      </c>
    </row>
    <row r="33" spans="1:2" x14ac:dyDescent="0.55000000000000004">
      <c r="A33" s="71" t="s">
        <v>5</v>
      </c>
      <c r="B33" s="1">
        <v>-0.28999999999999998</v>
      </c>
    </row>
    <row r="34" spans="1:2" x14ac:dyDescent="0.55000000000000004">
      <c r="A34" s="71" t="s">
        <v>6</v>
      </c>
      <c r="B34" s="1">
        <v>0.55000000000000004</v>
      </c>
    </row>
    <row r="35" spans="1:2" x14ac:dyDescent="0.55000000000000004">
      <c r="A35" s="71" t="s">
        <v>7</v>
      </c>
      <c r="B35" s="1">
        <v>0.36</v>
      </c>
    </row>
    <row r="36" spans="1:2" x14ac:dyDescent="0.55000000000000004">
      <c r="A36" s="71" t="s">
        <v>8</v>
      </c>
      <c r="B36" s="1">
        <v>0.43</v>
      </c>
    </row>
    <row r="37" spans="1:2" x14ac:dyDescent="0.55000000000000004">
      <c r="A37" s="71" t="s">
        <v>9</v>
      </c>
      <c r="B37" s="1">
        <v>0.32</v>
      </c>
    </row>
    <row r="38" spans="1:2" x14ac:dyDescent="0.55000000000000004">
      <c r="A38" s="71" t="s">
        <v>10</v>
      </c>
      <c r="B38" s="1">
        <v>0.09</v>
      </c>
    </row>
    <row r="39" spans="1:2" x14ac:dyDescent="0.55000000000000004">
      <c r="A39" s="71" t="s">
        <v>11</v>
      </c>
      <c r="B39" s="1">
        <v>0.28999999999999998</v>
      </c>
    </row>
    <row r="40" spans="1:2" x14ac:dyDescent="0.55000000000000004">
      <c r="A40" s="71" t="s">
        <v>12</v>
      </c>
      <c r="B40" s="1">
        <v>0.55000000000000004</v>
      </c>
    </row>
    <row r="41" spans="1:2" x14ac:dyDescent="0.55000000000000004">
      <c r="A41" s="71" t="s">
        <v>13</v>
      </c>
      <c r="B41" s="1">
        <v>0.47</v>
      </c>
    </row>
    <row r="42" spans="1:2" x14ac:dyDescent="0.55000000000000004">
      <c r="A42" s="71" t="s">
        <v>14</v>
      </c>
      <c r="B42" s="1">
        <v>0.56000000000000005</v>
      </c>
    </row>
    <row r="43" spans="1:2" x14ac:dyDescent="0.55000000000000004">
      <c r="A43" s="71" t="s">
        <v>15</v>
      </c>
      <c r="B43" s="1">
        <v>0.54</v>
      </c>
    </row>
    <row r="44" spans="1:2" x14ac:dyDescent="0.55000000000000004">
      <c r="A44" s="71" t="s">
        <v>16</v>
      </c>
      <c r="B44" s="1">
        <v>0.39</v>
      </c>
    </row>
    <row r="45" spans="1:2" x14ac:dyDescent="0.55000000000000004">
      <c r="A45" s="71" t="s">
        <v>17</v>
      </c>
      <c r="B45" s="1">
        <v>0.56999999999999995</v>
      </c>
    </row>
    <row r="46" spans="1:2" x14ac:dyDescent="0.55000000000000004">
      <c r="A46" s="71" t="s">
        <v>18</v>
      </c>
      <c r="B46" s="1">
        <v>0.59</v>
      </c>
    </row>
    <row r="47" spans="1:2" x14ac:dyDescent="0.55000000000000004">
      <c r="A47" s="71" t="s">
        <v>19</v>
      </c>
      <c r="B47" s="1">
        <v>0.56999999999999995</v>
      </c>
    </row>
    <row r="48" spans="1:2" x14ac:dyDescent="0.55000000000000004">
      <c r="A48" s="71" t="s">
        <v>20</v>
      </c>
      <c r="B48" s="1">
        <v>0.55000000000000004</v>
      </c>
    </row>
    <row r="49" spans="1:2" x14ac:dyDescent="0.55000000000000004">
      <c r="A49" s="71" t="s">
        <v>21</v>
      </c>
      <c r="B49" s="1">
        <v>0.56999999999999995</v>
      </c>
    </row>
    <row r="50" spans="1:2" x14ac:dyDescent="0.55000000000000004">
      <c r="A50" s="71" t="s">
        <v>22</v>
      </c>
      <c r="B50" s="1">
        <v>0.55000000000000004</v>
      </c>
    </row>
    <row r="51" spans="1:2" x14ac:dyDescent="0.55000000000000004">
      <c r="A51" s="71" t="s">
        <v>23</v>
      </c>
      <c r="B51" s="70">
        <v>0.5</v>
      </c>
    </row>
    <row r="52" spans="1:2" x14ac:dyDescent="0.55000000000000004">
      <c r="A52" s="71" t="s">
        <v>24</v>
      </c>
      <c r="B52" s="1">
        <v>0.55000000000000004</v>
      </c>
    </row>
    <row r="53" spans="1:2" x14ac:dyDescent="0.55000000000000004">
      <c r="A53" s="71" t="s">
        <v>25</v>
      </c>
      <c r="B53" s="1">
        <v>0.56999999999999995</v>
      </c>
    </row>
    <row r="54" spans="1:2" x14ac:dyDescent="0.55000000000000004">
      <c r="A54" s="71" t="s">
        <v>26</v>
      </c>
      <c r="B54" s="1">
        <v>0.53</v>
      </c>
    </row>
    <row r="55" spans="1:2" x14ac:dyDescent="0.55000000000000004">
      <c r="A55" s="71" t="s">
        <v>27</v>
      </c>
      <c r="B55" s="1">
        <v>0.56999999999999995</v>
      </c>
    </row>
    <row r="56" spans="1:2" x14ac:dyDescent="0.55000000000000004">
      <c r="A56" s="71" t="s">
        <v>28</v>
      </c>
      <c r="B56" s="1">
        <v>0.55000000000000004</v>
      </c>
    </row>
    <row r="57" spans="1:2" x14ac:dyDescent="0.55000000000000004">
      <c r="A57" s="71" t="s">
        <v>29</v>
      </c>
      <c r="B57" s="1">
        <v>0.55000000000000004</v>
      </c>
    </row>
  </sheetData>
  <autoFilter ref="A1:AE1" xr:uid="{9AEEEB0C-7E52-4FA7-B701-7FBD700070BC}"/>
  <mergeCells count="30">
    <mergeCell ref="AE26:AE27"/>
    <mergeCell ref="A30:B30"/>
    <mergeCell ref="Z26:Z27"/>
    <mergeCell ref="AA26:AA27"/>
    <mergeCell ref="AB26:AB27"/>
    <mergeCell ref="AC26:AC27"/>
    <mergeCell ref="AD26:AD27"/>
    <mergeCell ref="U26:U27"/>
    <mergeCell ref="V26:V27"/>
    <mergeCell ref="W26:W27"/>
    <mergeCell ref="X26:X27"/>
    <mergeCell ref="Y26:Y27"/>
    <mergeCell ref="P26:P27"/>
    <mergeCell ref="Q26:Q27"/>
    <mergeCell ref="R26:R27"/>
    <mergeCell ref="S26:S27"/>
    <mergeCell ref="A26:C27"/>
    <mergeCell ref="D26:D27"/>
    <mergeCell ref="E26:E27"/>
    <mergeCell ref="T26:T27"/>
    <mergeCell ref="M26:M27"/>
    <mergeCell ref="N26:N27"/>
    <mergeCell ref="O26:O27"/>
    <mergeCell ref="F26:F27"/>
    <mergeCell ref="G26:G27"/>
    <mergeCell ref="H26:H27"/>
    <mergeCell ref="I26:I27"/>
    <mergeCell ref="J26:J27"/>
    <mergeCell ref="K26:K27"/>
    <mergeCell ref="L26:L27"/>
  </mergeCells>
  <conditionalFormatting sqref="B31:B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6B662-7A91-4F0E-ADDA-208DA1FC4A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data</vt:lpstr>
      <vt:lpstr>Raw Data</vt:lpstr>
      <vt:lpstr>PT_Import_Val_2021-22</vt:lpstr>
      <vt:lpstr>PT_Import_Val_2022-23</vt:lpstr>
      <vt:lpstr>Q1</vt:lpstr>
      <vt:lpstr>Q2</vt:lpstr>
      <vt:lpstr>Q3 </vt:lpstr>
      <vt:lpstr>COVID 19 -Q4</vt:lpstr>
      <vt:lpstr>COVID Analysis Q4</vt:lpstr>
      <vt:lpstr>Q5</vt:lpstr>
      <vt:lpstr>Corelation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</dc:creator>
  <cp:lastModifiedBy>Sayali Ghogare</cp:lastModifiedBy>
  <dcterms:created xsi:type="dcterms:W3CDTF">2024-08-06T15:45:19Z</dcterms:created>
  <dcterms:modified xsi:type="dcterms:W3CDTF">2025-04-18T15:59:04Z</dcterms:modified>
</cp:coreProperties>
</file>